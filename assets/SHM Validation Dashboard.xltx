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codeName="ThisWorkbook"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D:\Users\rdalida\Desktop\Python\SHM Data Validation Tool\assets\"/>
    </mc:Choice>
  </mc:AlternateContent>
  <xr:revisionPtr revIDLastSave="0" documentId="8_{DA66C577-9C08-4C41-8AF4-5C672F19E9C1}" xr6:coauthVersionLast="47" xr6:coauthVersionMax="47" xr10:uidLastSave="{00000000-0000-0000-0000-000000000000}"/>
  <bookViews>
    <workbookView xWindow="-120" yWindow="-120" windowWidth="29040" windowHeight="15840" xr2:uid="{D1F29D19-6EF6-43EF-87D6-E99C34866F4F}"/>
  </bookViews>
  <sheets>
    <sheet name="Dashboard" sheetId="20" r:id="rId1"/>
    <sheet name="Students-heatmap" sheetId="12" state="veryHidden" r:id="rId2"/>
    <sheet name="All-report" sheetId="6" state="veryHidden" r:id="rId3"/>
    <sheet name="Empty" sheetId="3" state="veryHidden" r:id="rId4"/>
    <sheet name="Settings" sheetId="1" state="veryHidden" r:id="rId5"/>
  </sheets>
  <definedNames>
    <definedName name="ExternalData_1" localSheetId="2" hidden="1">'All-report'!#REF!</definedName>
    <definedName name="ExternalData_10" localSheetId="2" hidden="1">'All-report'!$AO$2:$AP$3</definedName>
    <definedName name="ExternalData_11" localSheetId="2" hidden="1">'All-report'!$AR$2:$AS$3</definedName>
    <definedName name="ExternalData_2" localSheetId="2" hidden="1">'All-report'!$A$1:$C$9</definedName>
    <definedName name="ExternalData_3" localSheetId="2" hidden="1">'All-report'!$T$2:$U$3</definedName>
    <definedName name="ExternalData_3" localSheetId="1" hidden="1">'Students-heatmap'!$A$2:$D$3</definedName>
    <definedName name="ExternalData_4" localSheetId="2" hidden="1">'All-report'!$W$2:$X$3</definedName>
    <definedName name="ExternalData_4" localSheetId="1" hidden="1">'Students-heatmap'!#REF!</definedName>
    <definedName name="ExternalData_5" localSheetId="2" hidden="1">'All-report'!$Z$2:$AA$3</definedName>
    <definedName name="ExternalData_6" localSheetId="2" hidden="1">'All-report'!$AC$2:$AD$3</definedName>
    <definedName name="ExternalData_7" localSheetId="2" hidden="1">'All-report'!$AF$2:$AG$3</definedName>
    <definedName name="ExternalData_8" localSheetId="2" hidden="1">'All-report'!$AI$2:$AJ$3</definedName>
    <definedName name="ExternalData_9" localSheetId="2" hidden="1">'All-report'!$AL$2:$AM$3</definedName>
    <definedName name="FolderPath">Settings!$B$1</definedName>
  </definedNames>
  <calcPr calcId="191029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  <pivotCache cacheId="8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" i="6" l="1"/>
  <c r="G9" i="6"/>
  <c r="G8" i="6"/>
  <c r="G7" i="6"/>
  <c r="G6" i="6"/>
  <c r="G5" i="6"/>
  <c r="G4" i="6"/>
  <c r="G3" i="6"/>
  <c r="G2" i="6"/>
  <c r="L26" i="6"/>
  <c r="L25" i="6"/>
  <c r="L24" i="6"/>
  <c r="L23" i="6"/>
  <c r="L22" i="6"/>
  <c r="L21" i="6"/>
  <c r="L20" i="6"/>
  <c r="L18" i="6"/>
  <c r="L19" i="6"/>
  <c r="G100" i="12" a="1"/>
  <c r="G100" i="12" s="1"/>
  <c r="AX20" i="20" s="1"/>
  <c r="H100" i="12" a="1"/>
  <c r="H100" i="12" s="1"/>
  <c r="AY20" i="20" s="1"/>
  <c r="I100" i="12" a="1"/>
  <c r="I100" i="12" s="1"/>
  <c r="AZ20" i="20" s="1"/>
  <c r="J100" i="12" a="1"/>
  <c r="J100" i="12" s="1"/>
  <c r="BA20" i="20" s="1"/>
  <c r="K100" i="12" a="1"/>
  <c r="K100" i="12" s="1"/>
  <c r="BB20" i="20" s="1"/>
  <c r="L100" i="12" a="1"/>
  <c r="L100" i="12" s="1"/>
  <c r="BC20" i="20" s="1"/>
  <c r="M100" i="12" a="1"/>
  <c r="M100" i="12" s="1"/>
  <c r="BD20" i="20" s="1"/>
  <c r="N100" i="12" a="1"/>
  <c r="N100" i="12" s="1"/>
  <c r="BE20" i="20" s="1"/>
  <c r="G101" i="12" a="1"/>
  <c r="G101" i="12" s="1"/>
  <c r="AX21" i="20" s="1"/>
  <c r="H101" i="12" a="1"/>
  <c r="H101" i="12" s="1"/>
  <c r="AY21" i="20" s="1"/>
  <c r="I101" i="12" a="1"/>
  <c r="I101" i="12" s="1"/>
  <c r="AZ21" i="20" s="1"/>
  <c r="J101" i="12" a="1"/>
  <c r="J101" i="12" s="1"/>
  <c r="BA21" i="20" s="1"/>
  <c r="K101" i="12" a="1"/>
  <c r="K101" i="12" s="1"/>
  <c r="BB21" i="20" s="1"/>
  <c r="L101" i="12" a="1"/>
  <c r="L101" i="12" s="1"/>
  <c r="BC21" i="20" s="1"/>
  <c r="M101" i="12" a="1"/>
  <c r="M101" i="12" s="1"/>
  <c r="BD21" i="20" s="1"/>
  <c r="N101" i="12" a="1"/>
  <c r="N101" i="12" s="1"/>
  <c r="BE21" i="20" s="1"/>
  <c r="G102" i="12" a="1"/>
  <c r="G102" i="12" s="1"/>
  <c r="AX22" i="20" s="1"/>
  <c r="H102" i="12" a="1"/>
  <c r="H102" i="12" s="1"/>
  <c r="AY22" i="20" s="1"/>
  <c r="I102" i="12" a="1"/>
  <c r="I102" i="12" s="1"/>
  <c r="AZ22" i="20" s="1"/>
  <c r="J102" i="12" a="1"/>
  <c r="J102" i="12" s="1"/>
  <c r="BA22" i="20" s="1"/>
  <c r="K102" i="12" a="1"/>
  <c r="K102" i="12" s="1"/>
  <c r="BB22" i="20" s="1"/>
  <c r="L102" i="12" a="1"/>
  <c r="L102" i="12" s="1"/>
  <c r="BC22" i="20" s="1"/>
  <c r="M102" i="12" a="1"/>
  <c r="M102" i="12" s="1"/>
  <c r="BD22" i="20" s="1"/>
  <c r="N102" i="12" a="1"/>
  <c r="N102" i="12" s="1"/>
  <c r="BE22" i="20" s="1"/>
  <c r="G103" i="12" a="1"/>
  <c r="G103" i="12" s="1"/>
  <c r="AX23" i="20" s="1"/>
  <c r="H103" i="12" a="1"/>
  <c r="H103" i="12" s="1"/>
  <c r="AY23" i="20" s="1"/>
  <c r="I103" i="12" a="1"/>
  <c r="I103" i="12" s="1"/>
  <c r="AZ23" i="20" s="1"/>
  <c r="J103" i="12" a="1"/>
  <c r="J103" i="12" s="1"/>
  <c r="BA23" i="20" s="1"/>
  <c r="K103" i="12" a="1"/>
  <c r="K103" i="12" s="1"/>
  <c r="BB23" i="20" s="1"/>
  <c r="L103" i="12" a="1"/>
  <c r="L103" i="12" s="1"/>
  <c r="BC23" i="20" s="1"/>
  <c r="M103" i="12" a="1"/>
  <c r="M103" i="12" s="1"/>
  <c r="BD23" i="20" s="1"/>
  <c r="N103" i="12" a="1"/>
  <c r="N103" i="12" s="1"/>
  <c r="BE23" i="20" s="1"/>
  <c r="G104" i="12" a="1"/>
  <c r="G104" i="12" s="1"/>
  <c r="AX24" i="20" s="1"/>
  <c r="H104" i="12" a="1"/>
  <c r="H104" i="12" s="1"/>
  <c r="AY24" i="20" s="1"/>
  <c r="I104" i="12" a="1"/>
  <c r="I104" i="12" s="1"/>
  <c r="AZ24" i="20" s="1"/>
  <c r="J104" i="12" a="1"/>
  <c r="J104" i="12" s="1"/>
  <c r="BA24" i="20" s="1"/>
  <c r="K104" i="12" a="1"/>
  <c r="K104" i="12" s="1"/>
  <c r="BB24" i="20" s="1"/>
  <c r="L104" i="12" a="1"/>
  <c r="L104" i="12" s="1"/>
  <c r="BC24" i="20" s="1"/>
  <c r="M104" i="12" a="1"/>
  <c r="M104" i="12" s="1"/>
  <c r="BD24" i="20" s="1"/>
  <c r="N104" i="12" a="1"/>
  <c r="N104" i="12" s="1"/>
  <c r="BE24" i="20" s="1"/>
  <c r="G105" i="12" a="1"/>
  <c r="G105" i="12" s="1"/>
  <c r="AX25" i="20" s="1"/>
  <c r="H105" i="12" a="1"/>
  <c r="H105" i="12" s="1"/>
  <c r="AY25" i="20" s="1"/>
  <c r="I105" i="12" a="1"/>
  <c r="I105" i="12" s="1"/>
  <c r="AZ25" i="20" s="1"/>
  <c r="J105" i="12" a="1"/>
  <c r="J105" i="12" s="1"/>
  <c r="BA25" i="20" s="1"/>
  <c r="K105" i="12" a="1"/>
  <c r="K105" i="12" s="1"/>
  <c r="BB25" i="20" s="1"/>
  <c r="L105" i="12" a="1"/>
  <c r="L105" i="12" s="1"/>
  <c r="BC25" i="20" s="1"/>
  <c r="M105" i="12" a="1"/>
  <c r="M105" i="12" s="1"/>
  <c r="BD25" i="20" s="1"/>
  <c r="N105" i="12" a="1"/>
  <c r="N105" i="12" s="1"/>
  <c r="BE25" i="20" s="1"/>
  <c r="G106" i="12" a="1"/>
  <c r="G106" i="12" s="1"/>
  <c r="AX26" i="20" s="1"/>
  <c r="H106" i="12" a="1"/>
  <c r="H106" i="12" s="1"/>
  <c r="AY26" i="20" s="1"/>
  <c r="I106" i="12" a="1"/>
  <c r="I106" i="12" s="1"/>
  <c r="AZ26" i="20" s="1"/>
  <c r="J106" i="12" a="1"/>
  <c r="J106" i="12" s="1"/>
  <c r="BA26" i="20" s="1"/>
  <c r="K106" i="12" a="1"/>
  <c r="K106" i="12" s="1"/>
  <c r="BB26" i="20" s="1"/>
  <c r="L106" i="12" a="1"/>
  <c r="L106" i="12" s="1"/>
  <c r="BC26" i="20" s="1"/>
  <c r="M106" i="12" a="1"/>
  <c r="M106" i="12" s="1"/>
  <c r="BD26" i="20" s="1"/>
  <c r="N106" i="12" a="1"/>
  <c r="N106" i="12" s="1"/>
  <c r="BE26" i="20" s="1"/>
  <c r="G107" i="12" a="1"/>
  <c r="G107" i="12" s="1"/>
  <c r="AX27" i="20" s="1"/>
  <c r="H107" i="12" a="1"/>
  <c r="H107" i="12" s="1"/>
  <c r="AY27" i="20" s="1"/>
  <c r="I107" i="12" a="1"/>
  <c r="I107" i="12" s="1"/>
  <c r="AZ27" i="20" s="1"/>
  <c r="J107" i="12" a="1"/>
  <c r="J107" i="12" s="1"/>
  <c r="BA27" i="20" s="1"/>
  <c r="K107" i="12" a="1"/>
  <c r="K107" i="12" s="1"/>
  <c r="BB27" i="20" s="1"/>
  <c r="L107" i="12" a="1"/>
  <c r="L107" i="12" s="1"/>
  <c r="BC27" i="20" s="1"/>
  <c r="M107" i="12" a="1"/>
  <c r="M107" i="12" s="1"/>
  <c r="BD27" i="20" s="1"/>
  <c r="N107" i="12" a="1"/>
  <c r="N107" i="12" s="1"/>
  <c r="BE27" i="20" s="1"/>
  <c r="G108" i="12" a="1"/>
  <c r="G108" i="12" s="1"/>
  <c r="AX28" i="20" s="1"/>
  <c r="H108" i="12" a="1"/>
  <c r="H108" i="12" s="1"/>
  <c r="AY28" i="20" s="1"/>
  <c r="I108" i="12" a="1"/>
  <c r="I108" i="12" s="1"/>
  <c r="AZ28" i="20" s="1"/>
  <c r="J108" i="12" a="1"/>
  <c r="J108" i="12" s="1"/>
  <c r="BA28" i="20" s="1"/>
  <c r="K108" i="12" a="1"/>
  <c r="K108" i="12" s="1"/>
  <c r="BB28" i="20" s="1"/>
  <c r="L108" i="12" a="1"/>
  <c r="L108" i="12" s="1"/>
  <c r="BC28" i="20" s="1"/>
  <c r="M108" i="12" a="1"/>
  <c r="M108" i="12" s="1"/>
  <c r="BD28" i="20" s="1"/>
  <c r="N108" i="12" a="1"/>
  <c r="N108" i="12" s="1"/>
  <c r="BE28" i="20" s="1"/>
  <c r="H99" i="12" a="1"/>
  <c r="H99" i="12" s="1"/>
  <c r="AY19" i="20" s="1"/>
  <c r="I99" i="12" a="1"/>
  <c r="I99" i="12" s="1"/>
  <c r="AZ19" i="20" s="1"/>
  <c r="J99" i="12" a="1"/>
  <c r="J99" i="12" s="1"/>
  <c r="BA19" i="20" s="1"/>
  <c r="K99" i="12" a="1"/>
  <c r="K99" i="12" s="1"/>
  <c r="BB19" i="20" s="1"/>
  <c r="L99" i="12" a="1"/>
  <c r="L99" i="12" s="1"/>
  <c r="BC19" i="20" s="1"/>
  <c r="M99" i="12" a="1"/>
  <c r="M99" i="12" s="1"/>
  <c r="BD19" i="20" s="1"/>
  <c r="N99" i="12" a="1"/>
  <c r="N99" i="12" s="1"/>
  <c r="BE19" i="20" s="1"/>
  <c r="G99" i="12" a="1"/>
  <c r="G99" i="12" s="1"/>
  <c r="AX19" i="20" s="1"/>
  <c r="G88" i="12" l="1" a="1"/>
  <c r="G88" i="12" s="1"/>
  <c r="H88" i="12" a="1"/>
  <c r="H88" i="12" s="1"/>
  <c r="I88" i="12" a="1"/>
  <c r="I88" i="12" s="1"/>
  <c r="J88" i="12" a="1"/>
  <c r="J88" i="12" s="1"/>
  <c r="K88" i="12" a="1"/>
  <c r="K88" i="12" s="1"/>
  <c r="L88" i="12" a="1"/>
  <c r="L88" i="12" s="1"/>
  <c r="M88" i="12" a="1"/>
  <c r="M88" i="12" s="1"/>
  <c r="N88" i="12" a="1"/>
  <c r="N88" i="12" s="1"/>
  <c r="G89" i="12" a="1"/>
  <c r="G89" i="12" s="1"/>
  <c r="H89" i="12" a="1"/>
  <c r="H89" i="12" s="1"/>
  <c r="I89" i="12" a="1"/>
  <c r="I89" i="12" s="1"/>
  <c r="J89" i="12" a="1"/>
  <c r="J89" i="12" s="1"/>
  <c r="K89" i="12" a="1"/>
  <c r="K89" i="12" s="1"/>
  <c r="L89" i="12" a="1"/>
  <c r="L89" i="12" s="1"/>
  <c r="M89" i="12" a="1"/>
  <c r="M89" i="12" s="1"/>
  <c r="N89" i="12" a="1"/>
  <c r="N89" i="12" s="1"/>
  <c r="G90" i="12" a="1"/>
  <c r="G90" i="12" s="1"/>
  <c r="H90" i="12" a="1"/>
  <c r="H90" i="12" s="1"/>
  <c r="I90" i="12" a="1"/>
  <c r="I90" i="12" s="1"/>
  <c r="J90" i="12" a="1"/>
  <c r="J90" i="12" s="1"/>
  <c r="K90" i="12" a="1"/>
  <c r="K90" i="12" s="1"/>
  <c r="L90" i="12" a="1"/>
  <c r="L90" i="12" s="1"/>
  <c r="M90" i="12" a="1"/>
  <c r="M90" i="12" s="1"/>
  <c r="N90" i="12" a="1"/>
  <c r="N90" i="12" s="1"/>
  <c r="G91" i="12" a="1"/>
  <c r="G91" i="12" s="1"/>
  <c r="H91" i="12" a="1"/>
  <c r="H91" i="12" s="1"/>
  <c r="I91" i="12" a="1"/>
  <c r="I91" i="12" s="1"/>
  <c r="J91" i="12" a="1"/>
  <c r="J91" i="12" s="1"/>
  <c r="K91" i="12" a="1"/>
  <c r="K91" i="12" s="1"/>
  <c r="L91" i="12" a="1"/>
  <c r="L91" i="12" s="1"/>
  <c r="M91" i="12" a="1"/>
  <c r="M91" i="12" s="1"/>
  <c r="N91" i="12" a="1"/>
  <c r="N91" i="12" s="1"/>
  <c r="G92" i="12" a="1"/>
  <c r="G92" i="12" s="1"/>
  <c r="H92" i="12" a="1"/>
  <c r="H92" i="12" s="1"/>
  <c r="I92" i="12" a="1"/>
  <c r="I92" i="12" s="1"/>
  <c r="J92" i="12" a="1"/>
  <c r="J92" i="12" s="1"/>
  <c r="K92" i="12" a="1"/>
  <c r="K92" i="12" s="1"/>
  <c r="L92" i="12" a="1"/>
  <c r="L92" i="12" s="1"/>
  <c r="M92" i="12" a="1"/>
  <c r="M92" i="12" s="1"/>
  <c r="N92" i="12" a="1"/>
  <c r="N92" i="12" s="1"/>
  <c r="G93" i="12" a="1"/>
  <c r="G93" i="12" s="1"/>
  <c r="H93" i="12" a="1"/>
  <c r="H93" i="12" s="1"/>
  <c r="I93" i="12" a="1"/>
  <c r="I93" i="12" s="1"/>
  <c r="J93" i="12" a="1"/>
  <c r="J93" i="12" s="1"/>
  <c r="K93" i="12" a="1"/>
  <c r="K93" i="12" s="1"/>
  <c r="L93" i="12" a="1"/>
  <c r="L93" i="12" s="1"/>
  <c r="M93" i="12" a="1"/>
  <c r="M93" i="12" s="1"/>
  <c r="N93" i="12" a="1"/>
  <c r="N93" i="12" s="1"/>
  <c r="G94" i="12" a="1"/>
  <c r="G94" i="12" s="1"/>
  <c r="H94" i="12" a="1"/>
  <c r="H94" i="12" s="1"/>
  <c r="I94" i="12" a="1"/>
  <c r="I94" i="12" s="1"/>
  <c r="J94" i="12" a="1"/>
  <c r="J94" i="12" s="1"/>
  <c r="K94" i="12" a="1"/>
  <c r="K94" i="12" s="1"/>
  <c r="L94" i="12" a="1"/>
  <c r="L94" i="12" s="1"/>
  <c r="M94" i="12" a="1"/>
  <c r="M94" i="12" s="1"/>
  <c r="N94" i="12" a="1"/>
  <c r="N94" i="12" s="1"/>
  <c r="G95" i="12" a="1"/>
  <c r="G95" i="12" s="1"/>
  <c r="H95" i="12" a="1"/>
  <c r="H95" i="12" s="1"/>
  <c r="I95" i="12" a="1"/>
  <c r="I95" i="12" s="1"/>
  <c r="J95" i="12" a="1"/>
  <c r="J95" i="12" s="1"/>
  <c r="K95" i="12" a="1"/>
  <c r="K95" i="12" s="1"/>
  <c r="L95" i="12" a="1"/>
  <c r="L95" i="12" s="1"/>
  <c r="M95" i="12" a="1"/>
  <c r="M95" i="12" s="1"/>
  <c r="N95" i="12" a="1"/>
  <c r="N95" i="12" s="1"/>
  <c r="G96" i="12" a="1"/>
  <c r="G96" i="12" s="1"/>
  <c r="H96" i="12" a="1"/>
  <c r="H96" i="12" s="1"/>
  <c r="I96" i="12" a="1"/>
  <c r="I96" i="12" s="1"/>
  <c r="J96" i="12" a="1"/>
  <c r="J96" i="12" s="1"/>
  <c r="K96" i="12" a="1"/>
  <c r="K96" i="12" s="1"/>
  <c r="L96" i="12" a="1"/>
  <c r="L96" i="12" s="1"/>
  <c r="M96" i="12" a="1"/>
  <c r="M96" i="12" s="1"/>
  <c r="N96" i="12" a="1"/>
  <c r="N96" i="12" s="1"/>
  <c r="H87" i="12" a="1"/>
  <c r="H87" i="12" s="1"/>
  <c r="I87" i="12" a="1"/>
  <c r="I87" i="12" s="1"/>
  <c r="J87" i="12" a="1"/>
  <c r="J87" i="12" s="1"/>
  <c r="K87" i="12" a="1"/>
  <c r="K87" i="12" s="1"/>
  <c r="L87" i="12" a="1"/>
  <c r="L87" i="12" s="1"/>
  <c r="M87" i="12" a="1"/>
  <c r="M87" i="12" s="1"/>
  <c r="N87" i="12" a="1"/>
  <c r="N87" i="12" s="1"/>
  <c r="G87" i="12" a="1"/>
  <c r="G87" i="12" s="1"/>
  <c r="G76" i="12" a="1"/>
  <c r="G76" i="12" s="1"/>
  <c r="H76" i="12" a="1"/>
  <c r="H76" i="12" s="1"/>
  <c r="I76" i="12" a="1"/>
  <c r="I76" i="12" s="1"/>
  <c r="J76" i="12" a="1"/>
  <c r="J76" i="12" s="1"/>
  <c r="K76" i="12" a="1"/>
  <c r="K76" i="12" s="1"/>
  <c r="L76" i="12" a="1"/>
  <c r="L76" i="12" s="1"/>
  <c r="M76" i="12" a="1"/>
  <c r="M76" i="12" s="1"/>
  <c r="N76" i="12" a="1"/>
  <c r="N76" i="12" s="1"/>
  <c r="G77" i="12" a="1"/>
  <c r="G77" i="12" s="1"/>
  <c r="H77" i="12" a="1"/>
  <c r="H77" i="12" s="1"/>
  <c r="I77" i="12" a="1"/>
  <c r="I77" i="12" s="1"/>
  <c r="J77" i="12" a="1"/>
  <c r="J77" i="12" s="1"/>
  <c r="K77" i="12" a="1"/>
  <c r="K77" i="12" s="1"/>
  <c r="L77" i="12" a="1"/>
  <c r="L77" i="12" s="1"/>
  <c r="M77" i="12" a="1"/>
  <c r="M77" i="12" s="1"/>
  <c r="N77" i="12" a="1"/>
  <c r="N77" i="12" s="1"/>
  <c r="G78" i="12" a="1"/>
  <c r="G78" i="12" s="1"/>
  <c r="H78" i="12" a="1"/>
  <c r="H78" i="12" s="1"/>
  <c r="I78" i="12" a="1"/>
  <c r="I78" i="12" s="1"/>
  <c r="J78" i="12" a="1"/>
  <c r="J78" i="12" s="1"/>
  <c r="K78" i="12" a="1"/>
  <c r="K78" i="12" s="1"/>
  <c r="L78" i="12" a="1"/>
  <c r="L78" i="12" s="1"/>
  <c r="M78" i="12" a="1"/>
  <c r="M78" i="12" s="1"/>
  <c r="N78" i="12" a="1"/>
  <c r="N78" i="12" s="1"/>
  <c r="G79" i="12" a="1"/>
  <c r="G79" i="12" s="1"/>
  <c r="H79" i="12" a="1"/>
  <c r="H79" i="12" s="1"/>
  <c r="I79" i="12" a="1"/>
  <c r="I79" i="12" s="1"/>
  <c r="J79" i="12" a="1"/>
  <c r="J79" i="12" s="1"/>
  <c r="K79" i="12" a="1"/>
  <c r="K79" i="12" s="1"/>
  <c r="L79" i="12" a="1"/>
  <c r="L79" i="12" s="1"/>
  <c r="M79" i="12" a="1"/>
  <c r="M79" i="12" s="1"/>
  <c r="N79" i="12" a="1"/>
  <c r="N79" i="12" s="1"/>
  <c r="G80" i="12" a="1"/>
  <c r="G80" i="12" s="1"/>
  <c r="H80" i="12" a="1"/>
  <c r="H80" i="12" s="1"/>
  <c r="I80" i="12" a="1"/>
  <c r="I80" i="12" s="1"/>
  <c r="J80" i="12" a="1"/>
  <c r="J80" i="12" s="1"/>
  <c r="K80" i="12" a="1"/>
  <c r="K80" i="12" s="1"/>
  <c r="L80" i="12" a="1"/>
  <c r="L80" i="12" s="1"/>
  <c r="M80" i="12" a="1"/>
  <c r="M80" i="12" s="1"/>
  <c r="N80" i="12" a="1"/>
  <c r="N80" i="12" s="1"/>
  <c r="G81" i="12" a="1"/>
  <c r="G81" i="12" s="1"/>
  <c r="H81" i="12" a="1"/>
  <c r="H81" i="12" s="1"/>
  <c r="I81" i="12" a="1"/>
  <c r="I81" i="12" s="1"/>
  <c r="J81" i="12" a="1"/>
  <c r="J81" i="12" s="1"/>
  <c r="K81" i="12" a="1"/>
  <c r="K81" i="12" s="1"/>
  <c r="L81" i="12" a="1"/>
  <c r="L81" i="12" s="1"/>
  <c r="M81" i="12" a="1"/>
  <c r="M81" i="12" s="1"/>
  <c r="N81" i="12" a="1"/>
  <c r="N81" i="12" s="1"/>
  <c r="G82" i="12" a="1"/>
  <c r="G82" i="12" s="1"/>
  <c r="H82" i="12" a="1"/>
  <c r="H82" i="12" s="1"/>
  <c r="I82" i="12" a="1"/>
  <c r="I82" i="12" s="1"/>
  <c r="J82" i="12" a="1"/>
  <c r="J82" i="12" s="1"/>
  <c r="K82" i="12" a="1"/>
  <c r="K82" i="12" s="1"/>
  <c r="L82" i="12" a="1"/>
  <c r="L82" i="12" s="1"/>
  <c r="M82" i="12" a="1"/>
  <c r="M82" i="12" s="1"/>
  <c r="N82" i="12" a="1"/>
  <c r="N82" i="12" s="1"/>
  <c r="G83" i="12" a="1"/>
  <c r="G83" i="12" s="1"/>
  <c r="H83" i="12" a="1"/>
  <c r="H83" i="12" s="1"/>
  <c r="I83" i="12" a="1"/>
  <c r="I83" i="12" s="1"/>
  <c r="J83" i="12" a="1"/>
  <c r="J83" i="12" s="1"/>
  <c r="K83" i="12" a="1"/>
  <c r="K83" i="12" s="1"/>
  <c r="L83" i="12" a="1"/>
  <c r="L83" i="12" s="1"/>
  <c r="M83" i="12" a="1"/>
  <c r="M83" i="12" s="1"/>
  <c r="N83" i="12" a="1"/>
  <c r="N83" i="12" s="1"/>
  <c r="G84" i="12" a="1"/>
  <c r="G84" i="12" s="1"/>
  <c r="H84" i="12" a="1"/>
  <c r="H84" i="12" s="1"/>
  <c r="I84" i="12" a="1"/>
  <c r="I84" i="12" s="1"/>
  <c r="J84" i="12" a="1"/>
  <c r="J84" i="12" s="1"/>
  <c r="K84" i="12" a="1"/>
  <c r="K84" i="12" s="1"/>
  <c r="L84" i="12" a="1"/>
  <c r="L84" i="12" s="1"/>
  <c r="M84" i="12" a="1"/>
  <c r="M84" i="12" s="1"/>
  <c r="N84" i="12" a="1"/>
  <c r="N84" i="12" s="1"/>
  <c r="H75" i="12" a="1"/>
  <c r="H75" i="12" s="1"/>
  <c r="I75" i="12" a="1"/>
  <c r="I75" i="12" s="1"/>
  <c r="J75" i="12" a="1"/>
  <c r="J75" i="12" s="1"/>
  <c r="K75" i="12" a="1"/>
  <c r="K75" i="12" s="1"/>
  <c r="L75" i="12" a="1"/>
  <c r="L75" i="12" s="1"/>
  <c r="M75" i="12" a="1"/>
  <c r="M75" i="12" s="1"/>
  <c r="N75" i="12" a="1"/>
  <c r="N75" i="12" s="1"/>
  <c r="G75" i="12" a="1"/>
  <c r="G75" i="12" s="1"/>
  <c r="G64" i="12" a="1"/>
  <c r="G64" i="12" s="1"/>
  <c r="H64" i="12" a="1"/>
  <c r="H64" i="12" s="1"/>
  <c r="I64" i="12" a="1"/>
  <c r="I64" i="12" s="1"/>
  <c r="J64" i="12" a="1"/>
  <c r="J64" i="12" s="1"/>
  <c r="K64" i="12" a="1"/>
  <c r="K64" i="12" s="1"/>
  <c r="L64" i="12" a="1"/>
  <c r="L64" i="12" s="1"/>
  <c r="M64" i="12" a="1"/>
  <c r="M64" i="12" s="1"/>
  <c r="N64" i="12" a="1"/>
  <c r="N64" i="12" s="1"/>
  <c r="G65" i="12" a="1"/>
  <c r="G65" i="12" s="1"/>
  <c r="H65" i="12" a="1"/>
  <c r="H65" i="12" s="1"/>
  <c r="I65" i="12" a="1"/>
  <c r="I65" i="12" s="1"/>
  <c r="J65" i="12" a="1"/>
  <c r="J65" i="12" s="1"/>
  <c r="K65" i="12" a="1"/>
  <c r="K65" i="12" s="1"/>
  <c r="L65" i="12" a="1"/>
  <c r="L65" i="12" s="1"/>
  <c r="M65" i="12" a="1"/>
  <c r="M65" i="12" s="1"/>
  <c r="N65" i="12" a="1"/>
  <c r="N65" i="12" s="1"/>
  <c r="G66" i="12" a="1"/>
  <c r="G66" i="12" s="1"/>
  <c r="H66" i="12" a="1"/>
  <c r="H66" i="12" s="1"/>
  <c r="I66" i="12" a="1"/>
  <c r="I66" i="12" s="1"/>
  <c r="J66" i="12" a="1"/>
  <c r="J66" i="12" s="1"/>
  <c r="K66" i="12" a="1"/>
  <c r="K66" i="12" s="1"/>
  <c r="L66" i="12" a="1"/>
  <c r="L66" i="12" s="1"/>
  <c r="M66" i="12" a="1"/>
  <c r="M66" i="12" s="1"/>
  <c r="N66" i="12" a="1"/>
  <c r="N66" i="12" s="1"/>
  <c r="G67" i="12" a="1"/>
  <c r="G67" i="12" s="1"/>
  <c r="H67" i="12" a="1"/>
  <c r="H67" i="12" s="1"/>
  <c r="I67" i="12" a="1"/>
  <c r="I67" i="12" s="1"/>
  <c r="J67" i="12" a="1"/>
  <c r="J67" i="12" s="1"/>
  <c r="K67" i="12" a="1"/>
  <c r="K67" i="12" s="1"/>
  <c r="L67" i="12" a="1"/>
  <c r="L67" i="12" s="1"/>
  <c r="M67" i="12" a="1"/>
  <c r="M67" i="12" s="1"/>
  <c r="N67" i="12" a="1"/>
  <c r="N67" i="12" s="1"/>
  <c r="G68" i="12" a="1"/>
  <c r="G68" i="12" s="1"/>
  <c r="H68" i="12" a="1"/>
  <c r="H68" i="12" s="1"/>
  <c r="I68" i="12" a="1"/>
  <c r="I68" i="12" s="1"/>
  <c r="J68" i="12" a="1"/>
  <c r="J68" i="12" s="1"/>
  <c r="K68" i="12" a="1"/>
  <c r="K68" i="12" s="1"/>
  <c r="L68" i="12" a="1"/>
  <c r="L68" i="12" s="1"/>
  <c r="M68" i="12" a="1"/>
  <c r="M68" i="12" s="1"/>
  <c r="N68" i="12" a="1"/>
  <c r="N68" i="12" s="1"/>
  <c r="G69" i="12" a="1"/>
  <c r="G69" i="12" s="1"/>
  <c r="H69" i="12" a="1"/>
  <c r="H69" i="12" s="1"/>
  <c r="I69" i="12" a="1"/>
  <c r="I69" i="12" s="1"/>
  <c r="J69" i="12" a="1"/>
  <c r="J69" i="12" s="1"/>
  <c r="K69" i="12" a="1"/>
  <c r="K69" i="12" s="1"/>
  <c r="L69" i="12" a="1"/>
  <c r="L69" i="12" s="1"/>
  <c r="M69" i="12" a="1"/>
  <c r="M69" i="12" s="1"/>
  <c r="N69" i="12" a="1"/>
  <c r="N69" i="12" s="1"/>
  <c r="G70" i="12" a="1"/>
  <c r="G70" i="12" s="1"/>
  <c r="H70" i="12" a="1"/>
  <c r="H70" i="12" s="1"/>
  <c r="I70" i="12" a="1"/>
  <c r="I70" i="12" s="1"/>
  <c r="J70" i="12" a="1"/>
  <c r="J70" i="12" s="1"/>
  <c r="K70" i="12" a="1"/>
  <c r="K70" i="12" s="1"/>
  <c r="L70" i="12" a="1"/>
  <c r="L70" i="12" s="1"/>
  <c r="M70" i="12" a="1"/>
  <c r="M70" i="12" s="1"/>
  <c r="N70" i="12" a="1"/>
  <c r="N70" i="12" s="1"/>
  <c r="G71" i="12" a="1"/>
  <c r="G71" i="12" s="1"/>
  <c r="H71" i="12" a="1"/>
  <c r="H71" i="12" s="1"/>
  <c r="I71" i="12" a="1"/>
  <c r="I71" i="12" s="1"/>
  <c r="J71" i="12" a="1"/>
  <c r="J71" i="12" s="1"/>
  <c r="K71" i="12" a="1"/>
  <c r="K71" i="12" s="1"/>
  <c r="L71" i="12" a="1"/>
  <c r="L71" i="12" s="1"/>
  <c r="M71" i="12" a="1"/>
  <c r="M71" i="12" s="1"/>
  <c r="N71" i="12" a="1"/>
  <c r="N71" i="12" s="1"/>
  <c r="G72" i="12" a="1"/>
  <c r="G72" i="12" s="1"/>
  <c r="H72" i="12" a="1"/>
  <c r="H72" i="12" s="1"/>
  <c r="I72" i="12" a="1"/>
  <c r="I72" i="12" s="1"/>
  <c r="J72" i="12" a="1"/>
  <c r="J72" i="12" s="1"/>
  <c r="K72" i="12" a="1"/>
  <c r="K72" i="12" s="1"/>
  <c r="L72" i="12" a="1"/>
  <c r="L72" i="12" s="1"/>
  <c r="M72" i="12" a="1"/>
  <c r="M72" i="12" s="1"/>
  <c r="N72" i="12" a="1"/>
  <c r="N72" i="12" s="1"/>
  <c r="H63" i="12" a="1"/>
  <c r="H63" i="12" s="1"/>
  <c r="I63" i="12" a="1"/>
  <c r="I63" i="12" s="1"/>
  <c r="J63" i="12" a="1"/>
  <c r="J63" i="12" s="1"/>
  <c r="K63" i="12" a="1"/>
  <c r="K63" i="12" s="1"/>
  <c r="L63" i="12" a="1"/>
  <c r="L63" i="12" s="1"/>
  <c r="M63" i="12" a="1"/>
  <c r="M63" i="12" s="1"/>
  <c r="N63" i="12" a="1"/>
  <c r="N63" i="12" s="1"/>
  <c r="G63" i="12" a="1"/>
  <c r="G63" i="12" s="1"/>
  <c r="G52" i="12" a="1"/>
  <c r="G52" i="12" s="1"/>
  <c r="H52" i="12" a="1"/>
  <c r="H52" i="12" s="1"/>
  <c r="I52" i="12" a="1"/>
  <c r="I52" i="12" s="1"/>
  <c r="J52" i="12" a="1"/>
  <c r="J52" i="12" s="1"/>
  <c r="K52" i="12" a="1"/>
  <c r="K52" i="12" s="1"/>
  <c r="L52" i="12" a="1"/>
  <c r="L52" i="12" s="1"/>
  <c r="M52" i="12" a="1"/>
  <c r="M52" i="12" s="1"/>
  <c r="N52" i="12" a="1"/>
  <c r="N52" i="12" s="1"/>
  <c r="G53" i="12" a="1"/>
  <c r="G53" i="12" s="1"/>
  <c r="H53" i="12" a="1"/>
  <c r="H53" i="12" s="1"/>
  <c r="I53" i="12" a="1"/>
  <c r="I53" i="12" s="1"/>
  <c r="J53" i="12" a="1"/>
  <c r="J53" i="12" s="1"/>
  <c r="K53" i="12" a="1"/>
  <c r="K53" i="12" s="1"/>
  <c r="L53" i="12" a="1"/>
  <c r="L53" i="12" s="1"/>
  <c r="M53" i="12" a="1"/>
  <c r="M53" i="12" s="1"/>
  <c r="N53" i="12" a="1"/>
  <c r="N53" i="12" s="1"/>
  <c r="G54" i="12" a="1"/>
  <c r="G54" i="12" s="1"/>
  <c r="H54" i="12" a="1"/>
  <c r="H54" i="12" s="1"/>
  <c r="I54" i="12" a="1"/>
  <c r="I54" i="12" s="1"/>
  <c r="J54" i="12" a="1"/>
  <c r="J54" i="12" s="1"/>
  <c r="K54" i="12" a="1"/>
  <c r="K54" i="12" s="1"/>
  <c r="L54" i="12" a="1"/>
  <c r="L54" i="12" s="1"/>
  <c r="M54" i="12" a="1"/>
  <c r="M54" i="12" s="1"/>
  <c r="N54" i="12" a="1"/>
  <c r="N54" i="12" s="1"/>
  <c r="G55" i="12" a="1"/>
  <c r="G55" i="12" s="1"/>
  <c r="H55" i="12" a="1"/>
  <c r="H55" i="12" s="1"/>
  <c r="I55" i="12" a="1"/>
  <c r="I55" i="12" s="1"/>
  <c r="J55" i="12" a="1"/>
  <c r="J55" i="12" s="1"/>
  <c r="K55" i="12" a="1"/>
  <c r="K55" i="12" s="1"/>
  <c r="L55" i="12" a="1"/>
  <c r="L55" i="12" s="1"/>
  <c r="M55" i="12" a="1"/>
  <c r="M55" i="12" s="1"/>
  <c r="N55" i="12" a="1"/>
  <c r="N55" i="12" s="1"/>
  <c r="G56" i="12" a="1"/>
  <c r="G56" i="12" s="1"/>
  <c r="H56" i="12" a="1"/>
  <c r="H56" i="12" s="1"/>
  <c r="I56" i="12" a="1"/>
  <c r="I56" i="12" s="1"/>
  <c r="J56" i="12" a="1"/>
  <c r="J56" i="12" s="1"/>
  <c r="K56" i="12" a="1"/>
  <c r="K56" i="12" s="1"/>
  <c r="L56" i="12" a="1"/>
  <c r="L56" i="12" s="1"/>
  <c r="M56" i="12" a="1"/>
  <c r="M56" i="12" s="1"/>
  <c r="N56" i="12" a="1"/>
  <c r="N56" i="12" s="1"/>
  <c r="G57" i="12" a="1"/>
  <c r="G57" i="12" s="1"/>
  <c r="H57" i="12" a="1"/>
  <c r="H57" i="12" s="1"/>
  <c r="I57" i="12" a="1"/>
  <c r="I57" i="12" s="1"/>
  <c r="J57" i="12" a="1"/>
  <c r="J57" i="12" s="1"/>
  <c r="K57" i="12" a="1"/>
  <c r="K57" i="12" s="1"/>
  <c r="L57" i="12" a="1"/>
  <c r="L57" i="12" s="1"/>
  <c r="M57" i="12" a="1"/>
  <c r="M57" i="12" s="1"/>
  <c r="N57" i="12" a="1"/>
  <c r="N57" i="12" s="1"/>
  <c r="G58" i="12" a="1"/>
  <c r="G58" i="12" s="1"/>
  <c r="H58" i="12" a="1"/>
  <c r="H58" i="12" s="1"/>
  <c r="I58" i="12" a="1"/>
  <c r="I58" i="12" s="1"/>
  <c r="J58" i="12" a="1"/>
  <c r="J58" i="12" s="1"/>
  <c r="K58" i="12" a="1"/>
  <c r="K58" i="12" s="1"/>
  <c r="L58" i="12" a="1"/>
  <c r="L58" i="12" s="1"/>
  <c r="M58" i="12" a="1"/>
  <c r="M58" i="12" s="1"/>
  <c r="N58" i="12" a="1"/>
  <c r="N58" i="12" s="1"/>
  <c r="G59" i="12" a="1"/>
  <c r="G59" i="12" s="1"/>
  <c r="H59" i="12" a="1"/>
  <c r="H59" i="12" s="1"/>
  <c r="I59" i="12" a="1"/>
  <c r="I59" i="12" s="1"/>
  <c r="J59" i="12" a="1"/>
  <c r="J59" i="12" s="1"/>
  <c r="K59" i="12" a="1"/>
  <c r="K59" i="12" s="1"/>
  <c r="L59" i="12" a="1"/>
  <c r="L59" i="12" s="1"/>
  <c r="M59" i="12" a="1"/>
  <c r="M59" i="12" s="1"/>
  <c r="N59" i="12" a="1"/>
  <c r="N59" i="12" s="1"/>
  <c r="G60" i="12" a="1"/>
  <c r="G60" i="12" s="1"/>
  <c r="H60" i="12" a="1"/>
  <c r="H60" i="12" s="1"/>
  <c r="I60" i="12" a="1"/>
  <c r="I60" i="12" s="1"/>
  <c r="J60" i="12" a="1"/>
  <c r="J60" i="12" s="1"/>
  <c r="K60" i="12" a="1"/>
  <c r="K60" i="12" s="1"/>
  <c r="L60" i="12" a="1"/>
  <c r="L60" i="12" s="1"/>
  <c r="M60" i="12" a="1"/>
  <c r="M60" i="12" s="1"/>
  <c r="N60" i="12" a="1"/>
  <c r="N60" i="12" s="1"/>
  <c r="H51" i="12" a="1"/>
  <c r="H51" i="12" s="1"/>
  <c r="I51" i="12" a="1"/>
  <c r="I51" i="12" s="1"/>
  <c r="J51" i="12" a="1"/>
  <c r="J51" i="12" s="1"/>
  <c r="K51" i="12" a="1"/>
  <c r="K51" i="12" s="1"/>
  <c r="L51" i="12" a="1"/>
  <c r="L51" i="12" s="1"/>
  <c r="M51" i="12" a="1"/>
  <c r="M51" i="12" s="1"/>
  <c r="N51" i="12" a="1"/>
  <c r="N51" i="12" s="1"/>
  <c r="G51" i="12" a="1"/>
  <c r="G51" i="12" s="1"/>
  <c r="G40" i="12" a="1"/>
  <c r="G40" i="12" s="1"/>
  <c r="H40" i="12" a="1"/>
  <c r="H40" i="12" s="1"/>
  <c r="I40" i="12" a="1"/>
  <c r="I40" i="12" s="1"/>
  <c r="J40" i="12" a="1"/>
  <c r="J40" i="12" s="1"/>
  <c r="K40" i="12" a="1"/>
  <c r="K40" i="12" s="1"/>
  <c r="L40" i="12" a="1"/>
  <c r="L40" i="12" s="1"/>
  <c r="M40" i="12" a="1"/>
  <c r="M40" i="12" s="1"/>
  <c r="N40" i="12" a="1"/>
  <c r="N40" i="12" s="1"/>
  <c r="G41" i="12" a="1"/>
  <c r="G41" i="12" s="1"/>
  <c r="H41" i="12" a="1"/>
  <c r="H41" i="12" s="1"/>
  <c r="I41" i="12" a="1"/>
  <c r="I41" i="12" s="1"/>
  <c r="J41" i="12" a="1"/>
  <c r="J41" i="12" s="1"/>
  <c r="K41" i="12" a="1"/>
  <c r="K41" i="12" s="1"/>
  <c r="L41" i="12" a="1"/>
  <c r="L41" i="12" s="1"/>
  <c r="M41" i="12" a="1"/>
  <c r="M41" i="12" s="1"/>
  <c r="N41" i="12" a="1"/>
  <c r="N41" i="12" s="1"/>
  <c r="G42" i="12" a="1"/>
  <c r="G42" i="12" s="1"/>
  <c r="H42" i="12" a="1"/>
  <c r="H42" i="12" s="1"/>
  <c r="I42" i="12" a="1"/>
  <c r="I42" i="12" s="1"/>
  <c r="J42" i="12" a="1"/>
  <c r="J42" i="12" s="1"/>
  <c r="K42" i="12" a="1"/>
  <c r="K42" i="12" s="1"/>
  <c r="L42" i="12" a="1"/>
  <c r="L42" i="12" s="1"/>
  <c r="M42" i="12" a="1"/>
  <c r="M42" i="12" s="1"/>
  <c r="N42" i="12" a="1"/>
  <c r="N42" i="12" s="1"/>
  <c r="G43" i="12" a="1"/>
  <c r="G43" i="12" s="1"/>
  <c r="H43" i="12" a="1"/>
  <c r="H43" i="12" s="1"/>
  <c r="I43" i="12" a="1"/>
  <c r="I43" i="12" s="1"/>
  <c r="J43" i="12" a="1"/>
  <c r="J43" i="12" s="1"/>
  <c r="K43" i="12" a="1"/>
  <c r="K43" i="12" s="1"/>
  <c r="L43" i="12" a="1"/>
  <c r="L43" i="12" s="1"/>
  <c r="M43" i="12" a="1"/>
  <c r="M43" i="12" s="1"/>
  <c r="N43" i="12" a="1"/>
  <c r="N43" i="12" s="1"/>
  <c r="G44" i="12" a="1"/>
  <c r="G44" i="12" s="1"/>
  <c r="H44" i="12" a="1"/>
  <c r="H44" i="12" s="1"/>
  <c r="I44" i="12" a="1"/>
  <c r="I44" i="12" s="1"/>
  <c r="J44" i="12" a="1"/>
  <c r="J44" i="12" s="1"/>
  <c r="K44" i="12" a="1"/>
  <c r="K44" i="12" s="1"/>
  <c r="L44" i="12" a="1"/>
  <c r="L44" i="12" s="1"/>
  <c r="M44" i="12" a="1"/>
  <c r="M44" i="12" s="1"/>
  <c r="N44" i="12" a="1"/>
  <c r="N44" i="12" s="1"/>
  <c r="G45" i="12" a="1"/>
  <c r="G45" i="12" s="1"/>
  <c r="H45" i="12" a="1"/>
  <c r="H45" i="12" s="1"/>
  <c r="I45" i="12" a="1"/>
  <c r="I45" i="12" s="1"/>
  <c r="J45" i="12" a="1"/>
  <c r="J45" i="12" s="1"/>
  <c r="K45" i="12" a="1"/>
  <c r="K45" i="12" s="1"/>
  <c r="L45" i="12" a="1"/>
  <c r="L45" i="12" s="1"/>
  <c r="M45" i="12" a="1"/>
  <c r="M45" i="12" s="1"/>
  <c r="N45" i="12" a="1"/>
  <c r="N45" i="12" s="1"/>
  <c r="G46" i="12" a="1"/>
  <c r="G46" i="12" s="1"/>
  <c r="H46" i="12" a="1"/>
  <c r="H46" i="12" s="1"/>
  <c r="I46" i="12" a="1"/>
  <c r="I46" i="12" s="1"/>
  <c r="J46" i="12" a="1"/>
  <c r="J46" i="12" s="1"/>
  <c r="K46" i="12" a="1"/>
  <c r="K46" i="12" s="1"/>
  <c r="L46" i="12" a="1"/>
  <c r="L46" i="12" s="1"/>
  <c r="M46" i="12" a="1"/>
  <c r="M46" i="12" s="1"/>
  <c r="N46" i="12" a="1"/>
  <c r="N46" i="12" s="1"/>
  <c r="G47" i="12" a="1"/>
  <c r="G47" i="12" s="1"/>
  <c r="H47" i="12" a="1"/>
  <c r="H47" i="12" s="1"/>
  <c r="I47" i="12" a="1"/>
  <c r="I47" i="12" s="1"/>
  <c r="J47" i="12" a="1"/>
  <c r="J47" i="12" s="1"/>
  <c r="K47" i="12" a="1"/>
  <c r="K47" i="12" s="1"/>
  <c r="L47" i="12" a="1"/>
  <c r="L47" i="12" s="1"/>
  <c r="M47" i="12" a="1"/>
  <c r="M47" i="12" s="1"/>
  <c r="N47" i="12" a="1"/>
  <c r="N47" i="12" s="1"/>
  <c r="G48" i="12" a="1"/>
  <c r="G48" i="12" s="1"/>
  <c r="H48" i="12" a="1"/>
  <c r="H48" i="12" s="1"/>
  <c r="I48" i="12" a="1"/>
  <c r="I48" i="12" s="1"/>
  <c r="J48" i="12" a="1"/>
  <c r="J48" i="12" s="1"/>
  <c r="K48" i="12" a="1"/>
  <c r="K48" i="12" s="1"/>
  <c r="L48" i="12" a="1"/>
  <c r="L48" i="12" s="1"/>
  <c r="M48" i="12" a="1"/>
  <c r="M48" i="12" s="1"/>
  <c r="N48" i="12" a="1"/>
  <c r="N48" i="12" s="1"/>
  <c r="H39" i="12" a="1"/>
  <c r="H39" i="12" s="1"/>
  <c r="I39" i="12" a="1"/>
  <c r="I39" i="12" s="1"/>
  <c r="J39" i="12" a="1"/>
  <c r="J39" i="12" s="1"/>
  <c r="K39" i="12" a="1"/>
  <c r="K39" i="12" s="1"/>
  <c r="L39" i="12" a="1"/>
  <c r="L39" i="12" s="1"/>
  <c r="M39" i="12" a="1"/>
  <c r="M39" i="12" s="1"/>
  <c r="N39" i="12" a="1"/>
  <c r="N39" i="12" s="1"/>
  <c r="G39" i="12" a="1"/>
  <c r="G39" i="12" s="1"/>
  <c r="G28" i="12" a="1"/>
  <c r="G28" i="12" s="1"/>
  <c r="H28" i="12" a="1"/>
  <c r="H28" i="12" s="1"/>
  <c r="I28" i="12" a="1"/>
  <c r="I28" i="12" s="1"/>
  <c r="J28" i="12" a="1"/>
  <c r="J28" i="12" s="1"/>
  <c r="K28" i="12" a="1"/>
  <c r="K28" i="12" s="1"/>
  <c r="L28" i="12" a="1"/>
  <c r="L28" i="12" s="1"/>
  <c r="M28" i="12" a="1"/>
  <c r="M28" i="12" s="1"/>
  <c r="N28" i="12" a="1"/>
  <c r="N28" i="12" s="1"/>
  <c r="G29" i="12" a="1"/>
  <c r="G29" i="12" s="1"/>
  <c r="H29" i="12" a="1"/>
  <c r="H29" i="12" s="1"/>
  <c r="I29" i="12" a="1"/>
  <c r="I29" i="12" s="1"/>
  <c r="J29" i="12" a="1"/>
  <c r="J29" i="12" s="1"/>
  <c r="K29" i="12" a="1"/>
  <c r="K29" i="12" s="1"/>
  <c r="L29" i="12" a="1"/>
  <c r="L29" i="12" s="1"/>
  <c r="M29" i="12" a="1"/>
  <c r="M29" i="12" s="1"/>
  <c r="N29" i="12" a="1"/>
  <c r="N29" i="12" s="1"/>
  <c r="G30" i="12" a="1"/>
  <c r="G30" i="12" s="1"/>
  <c r="H30" i="12" a="1"/>
  <c r="H30" i="12" s="1"/>
  <c r="I30" i="12" a="1"/>
  <c r="I30" i="12" s="1"/>
  <c r="J30" i="12" a="1"/>
  <c r="J30" i="12" s="1"/>
  <c r="K30" i="12" a="1"/>
  <c r="K30" i="12" s="1"/>
  <c r="L30" i="12" a="1"/>
  <c r="L30" i="12" s="1"/>
  <c r="M30" i="12" a="1"/>
  <c r="M30" i="12" s="1"/>
  <c r="N30" i="12" a="1"/>
  <c r="N30" i="12" s="1"/>
  <c r="G31" i="12" a="1"/>
  <c r="G31" i="12" s="1"/>
  <c r="H31" i="12" a="1"/>
  <c r="H31" i="12" s="1"/>
  <c r="I31" i="12" a="1"/>
  <c r="I31" i="12" s="1"/>
  <c r="J31" i="12" a="1"/>
  <c r="J31" i="12" s="1"/>
  <c r="K31" i="12" a="1"/>
  <c r="K31" i="12" s="1"/>
  <c r="L31" i="12" a="1"/>
  <c r="L31" i="12" s="1"/>
  <c r="M31" i="12" a="1"/>
  <c r="M31" i="12" s="1"/>
  <c r="N31" i="12" a="1"/>
  <c r="N31" i="12" s="1"/>
  <c r="G32" i="12" a="1"/>
  <c r="G32" i="12" s="1"/>
  <c r="H32" i="12" a="1"/>
  <c r="H32" i="12" s="1"/>
  <c r="I32" i="12" a="1"/>
  <c r="I32" i="12" s="1"/>
  <c r="J32" i="12" a="1"/>
  <c r="J32" i="12" s="1"/>
  <c r="K32" i="12" a="1"/>
  <c r="K32" i="12" s="1"/>
  <c r="L32" i="12" a="1"/>
  <c r="L32" i="12" s="1"/>
  <c r="M32" i="12" a="1"/>
  <c r="M32" i="12" s="1"/>
  <c r="N32" i="12" a="1"/>
  <c r="N32" i="12" s="1"/>
  <c r="G33" i="12" a="1"/>
  <c r="G33" i="12" s="1"/>
  <c r="H33" i="12" a="1"/>
  <c r="H33" i="12" s="1"/>
  <c r="I33" i="12" a="1"/>
  <c r="I33" i="12" s="1"/>
  <c r="J33" i="12" a="1"/>
  <c r="J33" i="12" s="1"/>
  <c r="K33" i="12" a="1"/>
  <c r="K33" i="12" s="1"/>
  <c r="L33" i="12" a="1"/>
  <c r="L33" i="12" s="1"/>
  <c r="M33" i="12" a="1"/>
  <c r="M33" i="12" s="1"/>
  <c r="N33" i="12" a="1"/>
  <c r="N33" i="12" s="1"/>
  <c r="G34" i="12" a="1"/>
  <c r="G34" i="12" s="1"/>
  <c r="H34" i="12" a="1"/>
  <c r="H34" i="12" s="1"/>
  <c r="I34" i="12" a="1"/>
  <c r="I34" i="12" s="1"/>
  <c r="J34" i="12" a="1"/>
  <c r="J34" i="12" s="1"/>
  <c r="K34" i="12" a="1"/>
  <c r="K34" i="12" s="1"/>
  <c r="L34" i="12" a="1"/>
  <c r="L34" i="12" s="1"/>
  <c r="M34" i="12" a="1"/>
  <c r="M34" i="12" s="1"/>
  <c r="N34" i="12" a="1"/>
  <c r="N34" i="12" s="1"/>
  <c r="G35" i="12" a="1"/>
  <c r="G35" i="12" s="1"/>
  <c r="H35" i="12" a="1"/>
  <c r="H35" i="12" s="1"/>
  <c r="I35" i="12" a="1"/>
  <c r="I35" i="12" s="1"/>
  <c r="J35" i="12" a="1"/>
  <c r="J35" i="12" s="1"/>
  <c r="K35" i="12" a="1"/>
  <c r="K35" i="12" s="1"/>
  <c r="L35" i="12" a="1"/>
  <c r="L35" i="12" s="1"/>
  <c r="M35" i="12" a="1"/>
  <c r="M35" i="12" s="1"/>
  <c r="N35" i="12" a="1"/>
  <c r="N35" i="12" s="1"/>
  <c r="G36" i="12" a="1"/>
  <c r="G36" i="12" s="1"/>
  <c r="H36" i="12" a="1"/>
  <c r="H36" i="12" s="1"/>
  <c r="I36" i="12" a="1"/>
  <c r="I36" i="12" s="1"/>
  <c r="J36" i="12" a="1"/>
  <c r="J36" i="12" s="1"/>
  <c r="K36" i="12" a="1"/>
  <c r="K36" i="12" s="1"/>
  <c r="L36" i="12" a="1"/>
  <c r="L36" i="12" s="1"/>
  <c r="M36" i="12" a="1"/>
  <c r="M36" i="12" s="1"/>
  <c r="N36" i="12" a="1"/>
  <c r="N36" i="12" s="1"/>
  <c r="H27" i="12" a="1"/>
  <c r="H27" i="12" s="1"/>
  <c r="I27" i="12" a="1"/>
  <c r="I27" i="12" s="1"/>
  <c r="J27" i="12" a="1"/>
  <c r="J27" i="12" s="1"/>
  <c r="K27" i="12" a="1"/>
  <c r="K27" i="12" s="1"/>
  <c r="L27" i="12" a="1"/>
  <c r="L27" i="12" s="1"/>
  <c r="M27" i="12" a="1"/>
  <c r="M27" i="12" s="1"/>
  <c r="N27" i="12" a="1"/>
  <c r="N27" i="12" s="1"/>
  <c r="G27" i="12" a="1"/>
  <c r="G27" i="12" s="1"/>
  <c r="G16" i="12" a="1"/>
  <c r="G16" i="12" s="1"/>
  <c r="H16" i="12" a="1"/>
  <c r="H16" i="12" s="1"/>
  <c r="I16" i="12" a="1"/>
  <c r="I16" i="12" s="1"/>
  <c r="J16" i="12" a="1"/>
  <c r="J16" i="12" s="1"/>
  <c r="K16" i="12" a="1"/>
  <c r="K16" i="12" s="1"/>
  <c r="L16" i="12" a="1"/>
  <c r="L16" i="12" s="1"/>
  <c r="M16" i="12" a="1"/>
  <c r="M16" i="12" s="1"/>
  <c r="N16" i="12" a="1"/>
  <c r="N16" i="12" s="1"/>
  <c r="G17" i="12" a="1"/>
  <c r="G17" i="12" s="1"/>
  <c r="H17" i="12" a="1"/>
  <c r="H17" i="12" s="1"/>
  <c r="I17" i="12" a="1"/>
  <c r="I17" i="12" s="1"/>
  <c r="J17" i="12" a="1"/>
  <c r="J17" i="12" s="1"/>
  <c r="K17" i="12" a="1"/>
  <c r="K17" i="12" s="1"/>
  <c r="L17" i="12" a="1"/>
  <c r="L17" i="12" s="1"/>
  <c r="M17" i="12" a="1"/>
  <c r="M17" i="12" s="1"/>
  <c r="N17" i="12" a="1"/>
  <c r="N17" i="12" s="1"/>
  <c r="G18" i="12" a="1"/>
  <c r="G18" i="12" s="1"/>
  <c r="H18" i="12" a="1"/>
  <c r="H18" i="12" s="1"/>
  <c r="I18" i="12" a="1"/>
  <c r="I18" i="12" s="1"/>
  <c r="J18" i="12" a="1"/>
  <c r="J18" i="12" s="1"/>
  <c r="K18" i="12" a="1"/>
  <c r="K18" i="12" s="1"/>
  <c r="L18" i="12" a="1"/>
  <c r="L18" i="12" s="1"/>
  <c r="M18" i="12" a="1"/>
  <c r="M18" i="12" s="1"/>
  <c r="N18" i="12" a="1"/>
  <c r="N18" i="12" s="1"/>
  <c r="G19" i="12" a="1"/>
  <c r="G19" i="12" s="1"/>
  <c r="H19" i="12" a="1"/>
  <c r="H19" i="12" s="1"/>
  <c r="I19" i="12" a="1"/>
  <c r="I19" i="12" s="1"/>
  <c r="J19" i="12" a="1"/>
  <c r="J19" i="12" s="1"/>
  <c r="K19" i="12" a="1"/>
  <c r="K19" i="12" s="1"/>
  <c r="L19" i="12" a="1"/>
  <c r="L19" i="12" s="1"/>
  <c r="M19" i="12" a="1"/>
  <c r="M19" i="12" s="1"/>
  <c r="N19" i="12" a="1"/>
  <c r="N19" i="12" s="1"/>
  <c r="G20" i="12" a="1"/>
  <c r="G20" i="12" s="1"/>
  <c r="H20" i="12" a="1"/>
  <c r="H20" i="12" s="1"/>
  <c r="I20" i="12" a="1"/>
  <c r="I20" i="12" s="1"/>
  <c r="J20" i="12" a="1"/>
  <c r="J20" i="12" s="1"/>
  <c r="K20" i="12" a="1"/>
  <c r="K20" i="12" s="1"/>
  <c r="L20" i="12" a="1"/>
  <c r="L20" i="12" s="1"/>
  <c r="M20" i="12" a="1"/>
  <c r="M20" i="12" s="1"/>
  <c r="N20" i="12" a="1"/>
  <c r="N20" i="12" s="1"/>
  <c r="G21" i="12" a="1"/>
  <c r="G21" i="12" s="1"/>
  <c r="H21" i="12" a="1"/>
  <c r="H21" i="12" s="1"/>
  <c r="I21" i="12" a="1"/>
  <c r="I21" i="12" s="1"/>
  <c r="J21" i="12" a="1"/>
  <c r="J21" i="12" s="1"/>
  <c r="K21" i="12" a="1"/>
  <c r="K21" i="12" s="1"/>
  <c r="L21" i="12" a="1"/>
  <c r="L21" i="12" s="1"/>
  <c r="M21" i="12" a="1"/>
  <c r="M21" i="12" s="1"/>
  <c r="N21" i="12" a="1"/>
  <c r="N21" i="12" s="1"/>
  <c r="G22" i="12" a="1"/>
  <c r="G22" i="12" s="1"/>
  <c r="H22" i="12" a="1"/>
  <c r="H22" i="12" s="1"/>
  <c r="I22" i="12" a="1"/>
  <c r="I22" i="12" s="1"/>
  <c r="J22" i="12" a="1"/>
  <c r="J22" i="12" s="1"/>
  <c r="K22" i="12" a="1"/>
  <c r="K22" i="12" s="1"/>
  <c r="L22" i="12" a="1"/>
  <c r="L22" i="12" s="1"/>
  <c r="M22" i="12" a="1"/>
  <c r="M22" i="12" s="1"/>
  <c r="N22" i="12" a="1"/>
  <c r="N22" i="12" s="1"/>
  <c r="G23" i="12" a="1"/>
  <c r="G23" i="12" s="1"/>
  <c r="H23" i="12" a="1"/>
  <c r="H23" i="12" s="1"/>
  <c r="I23" i="12" a="1"/>
  <c r="I23" i="12" s="1"/>
  <c r="J23" i="12" a="1"/>
  <c r="J23" i="12" s="1"/>
  <c r="K23" i="12" a="1"/>
  <c r="K23" i="12" s="1"/>
  <c r="L23" i="12" a="1"/>
  <c r="L23" i="12" s="1"/>
  <c r="M23" i="12" a="1"/>
  <c r="M23" i="12" s="1"/>
  <c r="N23" i="12" a="1"/>
  <c r="N23" i="12" s="1"/>
  <c r="G24" i="12" a="1"/>
  <c r="G24" i="12" s="1"/>
  <c r="H24" i="12" a="1"/>
  <c r="H24" i="12" s="1"/>
  <c r="I24" i="12" a="1"/>
  <c r="I24" i="12" s="1"/>
  <c r="J24" i="12" a="1"/>
  <c r="J24" i="12" s="1"/>
  <c r="K24" i="12" a="1"/>
  <c r="K24" i="12" s="1"/>
  <c r="L24" i="12" a="1"/>
  <c r="L24" i="12" s="1"/>
  <c r="M24" i="12" a="1"/>
  <c r="M24" i="12" s="1"/>
  <c r="N24" i="12" a="1"/>
  <c r="N24" i="12" s="1"/>
  <c r="H15" i="12" a="1"/>
  <c r="H15" i="12" s="1"/>
  <c r="I15" i="12" a="1"/>
  <c r="I15" i="12" s="1"/>
  <c r="J15" i="12" a="1"/>
  <c r="J15" i="12" s="1"/>
  <c r="K15" i="12" a="1"/>
  <c r="K15" i="12" s="1"/>
  <c r="L15" i="12" a="1"/>
  <c r="L15" i="12" s="1"/>
  <c r="M15" i="12" a="1"/>
  <c r="M15" i="12" s="1"/>
  <c r="N15" i="12" a="1"/>
  <c r="N15" i="12" s="1"/>
  <c r="G15" i="12" a="1"/>
  <c r="G15" i="12" s="1"/>
  <c r="G4" i="12" a="1"/>
  <c r="G4" i="12" s="1"/>
  <c r="H4" i="12" a="1"/>
  <c r="H4" i="12" s="1"/>
  <c r="I4" i="12" a="1"/>
  <c r="I4" i="12" s="1"/>
  <c r="J4" i="12" a="1"/>
  <c r="J4" i="12" s="1"/>
  <c r="K4" i="12" a="1"/>
  <c r="K4" i="12" s="1"/>
  <c r="L4" i="12" a="1"/>
  <c r="L4" i="12" s="1"/>
  <c r="M4" i="12" a="1"/>
  <c r="M4" i="12" s="1"/>
  <c r="N4" i="12" a="1"/>
  <c r="N4" i="12" s="1"/>
  <c r="G5" i="12" a="1"/>
  <c r="G5" i="12" s="1"/>
  <c r="H5" i="12" a="1"/>
  <c r="H5" i="12" s="1"/>
  <c r="I5" i="12" a="1"/>
  <c r="I5" i="12" s="1"/>
  <c r="J5" i="12" a="1"/>
  <c r="J5" i="12" s="1"/>
  <c r="K5" i="12" a="1"/>
  <c r="K5" i="12" s="1"/>
  <c r="L5" i="12" a="1"/>
  <c r="L5" i="12" s="1"/>
  <c r="M5" i="12" a="1"/>
  <c r="M5" i="12" s="1"/>
  <c r="N5" i="12" a="1"/>
  <c r="N5" i="12" s="1"/>
  <c r="G6" i="12" a="1"/>
  <c r="G6" i="12" s="1"/>
  <c r="H6" i="12" a="1"/>
  <c r="H6" i="12" s="1"/>
  <c r="I6" i="12" a="1"/>
  <c r="I6" i="12" s="1"/>
  <c r="J6" i="12" a="1"/>
  <c r="J6" i="12" s="1"/>
  <c r="K6" i="12" a="1"/>
  <c r="K6" i="12" s="1"/>
  <c r="L6" i="12" a="1"/>
  <c r="L6" i="12" s="1"/>
  <c r="M6" i="12" a="1"/>
  <c r="M6" i="12" s="1"/>
  <c r="N6" i="12" a="1"/>
  <c r="N6" i="12" s="1"/>
  <c r="G7" i="12" a="1"/>
  <c r="G7" i="12" s="1"/>
  <c r="H7" i="12" a="1"/>
  <c r="H7" i="12" s="1"/>
  <c r="I7" i="12" a="1"/>
  <c r="I7" i="12" s="1"/>
  <c r="J7" i="12" a="1"/>
  <c r="J7" i="12" s="1"/>
  <c r="K7" i="12" a="1"/>
  <c r="K7" i="12" s="1"/>
  <c r="L7" i="12" a="1"/>
  <c r="L7" i="12" s="1"/>
  <c r="M7" i="12" a="1"/>
  <c r="M7" i="12" s="1"/>
  <c r="N7" i="12" a="1"/>
  <c r="N7" i="12" s="1"/>
  <c r="G8" i="12" a="1"/>
  <c r="G8" i="12" s="1"/>
  <c r="H8" i="12" a="1"/>
  <c r="H8" i="12" s="1"/>
  <c r="I8" i="12" a="1"/>
  <c r="I8" i="12" s="1"/>
  <c r="J8" i="12" a="1"/>
  <c r="J8" i="12" s="1"/>
  <c r="K8" i="12" a="1"/>
  <c r="K8" i="12" s="1"/>
  <c r="L8" i="12" a="1"/>
  <c r="L8" i="12" s="1"/>
  <c r="M8" i="12" a="1"/>
  <c r="M8" i="12" s="1"/>
  <c r="N8" i="12" a="1"/>
  <c r="N8" i="12" s="1"/>
  <c r="G9" i="12" a="1"/>
  <c r="G9" i="12" s="1"/>
  <c r="H9" i="12" a="1"/>
  <c r="H9" i="12" s="1"/>
  <c r="I9" i="12" a="1"/>
  <c r="I9" i="12" s="1"/>
  <c r="J9" i="12" a="1"/>
  <c r="J9" i="12" s="1"/>
  <c r="K9" i="12" a="1"/>
  <c r="K9" i="12" s="1"/>
  <c r="L9" i="12" a="1"/>
  <c r="L9" i="12" s="1"/>
  <c r="M9" i="12" a="1"/>
  <c r="M9" i="12" s="1"/>
  <c r="N9" i="12" a="1"/>
  <c r="N9" i="12" s="1"/>
  <c r="G10" i="12" a="1"/>
  <c r="G10" i="12" s="1"/>
  <c r="H10" i="12" a="1"/>
  <c r="H10" i="12" s="1"/>
  <c r="I10" i="12" a="1"/>
  <c r="I10" i="12" s="1"/>
  <c r="J10" i="12" a="1"/>
  <c r="J10" i="12" s="1"/>
  <c r="K10" i="12" a="1"/>
  <c r="K10" i="12" s="1"/>
  <c r="L10" i="12" a="1"/>
  <c r="L10" i="12" s="1"/>
  <c r="M10" i="12" a="1"/>
  <c r="M10" i="12" s="1"/>
  <c r="N10" i="12" a="1"/>
  <c r="N10" i="12" s="1"/>
  <c r="G11" i="12" a="1"/>
  <c r="G11" i="12" s="1"/>
  <c r="H11" i="12" a="1"/>
  <c r="H11" i="12" s="1"/>
  <c r="I11" i="12" a="1"/>
  <c r="I11" i="12" s="1"/>
  <c r="J11" i="12" a="1"/>
  <c r="J11" i="12" s="1"/>
  <c r="K11" i="12" a="1"/>
  <c r="K11" i="12" s="1"/>
  <c r="L11" i="12" a="1"/>
  <c r="L11" i="12" s="1"/>
  <c r="M11" i="12" a="1"/>
  <c r="M11" i="12" s="1"/>
  <c r="N11" i="12" a="1"/>
  <c r="N11" i="12" s="1"/>
  <c r="G12" i="12" a="1"/>
  <c r="G12" i="12" s="1"/>
  <c r="H12" i="12" a="1"/>
  <c r="H12" i="12" s="1"/>
  <c r="I12" i="12" a="1"/>
  <c r="I12" i="12" s="1"/>
  <c r="J12" i="12" a="1"/>
  <c r="J12" i="12" s="1"/>
  <c r="K12" i="12" a="1"/>
  <c r="K12" i="12" s="1"/>
  <c r="L12" i="12" a="1"/>
  <c r="L12" i="12" s="1"/>
  <c r="M12" i="12" a="1"/>
  <c r="M12" i="12" s="1"/>
  <c r="N12" i="12" a="1"/>
  <c r="N12" i="12" s="1"/>
  <c r="H3" i="12" a="1"/>
  <c r="H3" i="12" s="1"/>
  <c r="I3" i="12" a="1"/>
  <c r="I3" i="12" s="1"/>
  <c r="J3" i="12" a="1"/>
  <c r="J3" i="12" s="1"/>
  <c r="K3" i="12" a="1"/>
  <c r="K3" i="12" s="1"/>
  <c r="L3" i="12" a="1"/>
  <c r="L3" i="12" s="1"/>
  <c r="M3" i="12" a="1"/>
  <c r="M3" i="12" s="1"/>
  <c r="N3" i="12" a="1"/>
  <c r="N3" i="12" s="1"/>
  <c r="G3" i="12" a="1"/>
  <c r="G3" i="12" s="1"/>
  <c r="N3" i="20" l="1"/>
  <c r="M3" i="20"/>
  <c r="P11" i="20"/>
  <c r="L10" i="20"/>
  <c r="P8" i="20"/>
  <c r="P7" i="20"/>
  <c r="P6" i="20"/>
  <c r="P5" i="20"/>
  <c r="P4" i="20"/>
  <c r="AG3" i="20"/>
  <c r="AN11" i="20"/>
  <c r="AJ11" i="20"/>
  <c r="AN10" i="20"/>
  <c r="AJ10" i="20"/>
  <c r="AN9" i="20"/>
  <c r="AJ9" i="20"/>
  <c r="AN8" i="20"/>
  <c r="AJ8" i="20"/>
  <c r="AN7" i="20"/>
  <c r="AJ7" i="20"/>
  <c r="AN6" i="20"/>
  <c r="AJ6" i="20"/>
  <c r="AN5" i="20"/>
  <c r="AJ5" i="20"/>
  <c r="AN4" i="20"/>
  <c r="AJ4" i="20"/>
  <c r="M19" i="20"/>
  <c r="Q19" i="20"/>
  <c r="T28" i="20"/>
  <c r="P28" i="20"/>
  <c r="T27" i="20"/>
  <c r="P27" i="20"/>
  <c r="T26" i="20"/>
  <c r="P26" i="20"/>
  <c r="T25" i="20"/>
  <c r="P25" i="20"/>
  <c r="T24" i="20"/>
  <c r="P24" i="20"/>
  <c r="T23" i="20"/>
  <c r="P23" i="20"/>
  <c r="T22" i="20"/>
  <c r="P22" i="20"/>
  <c r="T21" i="20"/>
  <c r="P21" i="20"/>
  <c r="T20" i="20"/>
  <c r="P20" i="20"/>
  <c r="Y19" i="20"/>
  <c r="AC19" i="20"/>
  <c r="AF28" i="20"/>
  <c r="AB28" i="20"/>
  <c r="AF27" i="20"/>
  <c r="AB27" i="20"/>
  <c r="AF26" i="20"/>
  <c r="AB26" i="20"/>
  <c r="AF25" i="20"/>
  <c r="AB25" i="20"/>
  <c r="AF24" i="20"/>
  <c r="AB24" i="20"/>
  <c r="AF23" i="20"/>
  <c r="AB23" i="20"/>
  <c r="AF22" i="20"/>
  <c r="AB22" i="20"/>
  <c r="AF21" i="20"/>
  <c r="AB21" i="20"/>
  <c r="AF20" i="20"/>
  <c r="AB20" i="20"/>
  <c r="AL19" i="20"/>
  <c r="AP19" i="20"/>
  <c r="AS28" i="20"/>
  <c r="AO28" i="20"/>
  <c r="AS27" i="20"/>
  <c r="AO27" i="20"/>
  <c r="AS26" i="20"/>
  <c r="AO26" i="20"/>
  <c r="AS25" i="20"/>
  <c r="AO25" i="20"/>
  <c r="AS24" i="20"/>
  <c r="AO24" i="20"/>
  <c r="AS23" i="20"/>
  <c r="AO23" i="20"/>
  <c r="AS22" i="20"/>
  <c r="AO22" i="20"/>
  <c r="AS21" i="20"/>
  <c r="AO21" i="20"/>
  <c r="AS20" i="20"/>
  <c r="AO20" i="20"/>
  <c r="BE3" i="20"/>
  <c r="BI3" i="20"/>
  <c r="BL12" i="20"/>
  <c r="BH12" i="20"/>
  <c r="BL11" i="20"/>
  <c r="BH11" i="20"/>
  <c r="BL10" i="20"/>
  <c r="BH10" i="20"/>
  <c r="BL9" i="20"/>
  <c r="BH9" i="20"/>
  <c r="BL8" i="20"/>
  <c r="BH8" i="20"/>
  <c r="BL7" i="20"/>
  <c r="BH7" i="20"/>
  <c r="BL6" i="20"/>
  <c r="BH6" i="20"/>
  <c r="BL5" i="20"/>
  <c r="BH5" i="20"/>
  <c r="BL4" i="20"/>
  <c r="BH4" i="20"/>
  <c r="U3" i="20"/>
  <c r="Y3" i="20"/>
  <c r="AB12" i="20"/>
  <c r="X12" i="20"/>
  <c r="AB11" i="20"/>
  <c r="X11" i="20"/>
  <c r="AB10" i="20"/>
  <c r="X10" i="20"/>
  <c r="AB9" i="20"/>
  <c r="X9" i="20"/>
  <c r="AB8" i="20"/>
  <c r="X8" i="20"/>
  <c r="AB7" i="20"/>
  <c r="X7" i="20"/>
  <c r="AB6" i="20"/>
  <c r="X6" i="20"/>
  <c r="AB5" i="20"/>
  <c r="X5" i="20"/>
  <c r="AB4" i="20"/>
  <c r="X4" i="20"/>
  <c r="AS3" i="20"/>
  <c r="AW3" i="20"/>
  <c r="AZ12" i="20"/>
  <c r="AV12" i="20"/>
  <c r="AZ11" i="20"/>
  <c r="AV11" i="20"/>
  <c r="AZ10" i="20"/>
  <c r="AV10" i="20"/>
  <c r="AZ9" i="20"/>
  <c r="AV9" i="20"/>
  <c r="AZ8" i="20"/>
  <c r="AV8" i="20"/>
  <c r="AZ7" i="20"/>
  <c r="AV7" i="20"/>
  <c r="AZ6" i="20"/>
  <c r="AV6" i="20"/>
  <c r="AZ5" i="20"/>
  <c r="AV5" i="20"/>
  <c r="AZ4" i="20"/>
  <c r="AV4" i="20"/>
  <c r="I3" i="20"/>
  <c r="L12" i="20"/>
  <c r="P10" i="20"/>
  <c r="L9" i="20"/>
  <c r="L8" i="20"/>
  <c r="L7" i="20"/>
  <c r="L6" i="20"/>
  <c r="L5" i="20"/>
  <c r="L4" i="20"/>
  <c r="AK3" i="20"/>
  <c r="AN12" i="20"/>
  <c r="AJ12" i="20"/>
  <c r="P3" i="20"/>
  <c r="L3" i="20"/>
  <c r="O12" i="20"/>
  <c r="K12" i="20"/>
  <c r="O11" i="20"/>
  <c r="K11" i="20"/>
  <c r="O10" i="20"/>
  <c r="K10" i="20"/>
  <c r="O9" i="20"/>
  <c r="K9" i="20"/>
  <c r="O8" i="20"/>
  <c r="K8" i="20"/>
  <c r="O7" i="20"/>
  <c r="K7" i="20"/>
  <c r="O6" i="20"/>
  <c r="K6" i="20"/>
  <c r="O5" i="20"/>
  <c r="K5" i="20"/>
  <c r="O4" i="20"/>
  <c r="K4" i="20"/>
  <c r="AN3" i="20"/>
  <c r="AJ3" i="20"/>
  <c r="AM12" i="20"/>
  <c r="AI12" i="20"/>
  <c r="AM11" i="20"/>
  <c r="AI11" i="20"/>
  <c r="AM10" i="20"/>
  <c r="AI10" i="20"/>
  <c r="AM9" i="20"/>
  <c r="AI9" i="20"/>
  <c r="AM8" i="20"/>
  <c r="AI8" i="20"/>
  <c r="AM7" i="20"/>
  <c r="AI7" i="20"/>
  <c r="AM6" i="20"/>
  <c r="AI6" i="20"/>
  <c r="AM5" i="20"/>
  <c r="AI5" i="20"/>
  <c r="AM4" i="20"/>
  <c r="AI4" i="20"/>
  <c r="T19" i="20"/>
  <c r="P19" i="20"/>
  <c r="S28" i="20"/>
  <c r="O28" i="20"/>
  <c r="S27" i="20"/>
  <c r="O27" i="20"/>
  <c r="S26" i="20"/>
  <c r="O26" i="20"/>
  <c r="S25" i="20"/>
  <c r="O25" i="20"/>
  <c r="S24" i="20"/>
  <c r="O24" i="20"/>
  <c r="S23" i="20"/>
  <c r="O23" i="20"/>
  <c r="S22" i="20"/>
  <c r="O22" i="20"/>
  <c r="S21" i="20"/>
  <c r="O21" i="20"/>
  <c r="S20" i="20"/>
  <c r="O20" i="20"/>
  <c r="AF19" i="20"/>
  <c r="AB19" i="20"/>
  <c r="AE28" i="20"/>
  <c r="AA28" i="20"/>
  <c r="AE27" i="20"/>
  <c r="AA27" i="20"/>
  <c r="AE26" i="20"/>
  <c r="AA26" i="20"/>
  <c r="AE25" i="20"/>
  <c r="AA25" i="20"/>
  <c r="AE24" i="20"/>
  <c r="AA24" i="20"/>
  <c r="AE23" i="20"/>
  <c r="AA23" i="20"/>
  <c r="AE22" i="20"/>
  <c r="AA22" i="20"/>
  <c r="AE21" i="20"/>
  <c r="AA21" i="20"/>
  <c r="AE20" i="20"/>
  <c r="AA20" i="20"/>
  <c r="AS19" i="20"/>
  <c r="AO19" i="20"/>
  <c r="AR28" i="20"/>
  <c r="AN28" i="20"/>
  <c r="AR27" i="20"/>
  <c r="AN27" i="20"/>
  <c r="AR26" i="20"/>
  <c r="AN26" i="20"/>
  <c r="AR25" i="20"/>
  <c r="AN25" i="20"/>
  <c r="AR24" i="20"/>
  <c r="AN24" i="20"/>
  <c r="AR23" i="20"/>
  <c r="AN23" i="20"/>
  <c r="AR22" i="20"/>
  <c r="AN22" i="20"/>
  <c r="AR21" i="20"/>
  <c r="AN21" i="20"/>
  <c r="AR20" i="20"/>
  <c r="AN20" i="20"/>
  <c r="BL3" i="20"/>
  <c r="BH3" i="20"/>
  <c r="BK12" i="20"/>
  <c r="BG12" i="20"/>
  <c r="BK11" i="20"/>
  <c r="BG11" i="20"/>
  <c r="BK10" i="20"/>
  <c r="BG10" i="20"/>
  <c r="BK9" i="20"/>
  <c r="BG9" i="20"/>
  <c r="BK8" i="20"/>
  <c r="BG8" i="20"/>
  <c r="BK7" i="20"/>
  <c r="BG7" i="20"/>
  <c r="BK6" i="20"/>
  <c r="BG6" i="20"/>
  <c r="BK5" i="20"/>
  <c r="BG5" i="20"/>
  <c r="BK4" i="20"/>
  <c r="BG4" i="20"/>
  <c r="AB3" i="20"/>
  <c r="X3" i="20"/>
  <c r="AA12" i="20"/>
  <c r="W12" i="20"/>
  <c r="AA11" i="20"/>
  <c r="W11" i="20"/>
  <c r="AA10" i="20"/>
  <c r="W10" i="20"/>
  <c r="AA9" i="20"/>
  <c r="W9" i="20"/>
  <c r="AA8" i="20"/>
  <c r="W8" i="20"/>
  <c r="AA7" i="20"/>
  <c r="W7" i="20"/>
  <c r="AA6" i="20"/>
  <c r="W6" i="20"/>
  <c r="AA5" i="20"/>
  <c r="W5" i="20"/>
  <c r="AA4" i="20"/>
  <c r="W4" i="20"/>
  <c r="AZ3" i="20"/>
  <c r="AV3" i="20"/>
  <c r="AY12" i="20"/>
  <c r="AU12" i="20"/>
  <c r="AY11" i="20"/>
  <c r="AU11" i="20"/>
  <c r="AY10" i="20"/>
  <c r="AU10" i="20"/>
  <c r="AY9" i="20"/>
  <c r="AU9" i="20"/>
  <c r="AY8" i="20"/>
  <c r="AU8" i="20"/>
  <c r="AY7" i="20"/>
  <c r="AU7" i="20"/>
  <c r="AY6" i="20"/>
  <c r="AU6" i="20"/>
  <c r="AY5" i="20"/>
  <c r="AU5" i="20"/>
  <c r="AY4" i="20"/>
  <c r="AU4" i="20"/>
  <c r="M12" i="20"/>
  <c r="P12" i="20"/>
  <c r="L11" i="20"/>
  <c r="P9" i="20"/>
  <c r="O3" i="20"/>
  <c r="K3" i="20"/>
  <c r="N12" i="20"/>
  <c r="J12" i="20"/>
  <c r="N11" i="20"/>
  <c r="J11" i="20"/>
  <c r="N10" i="20"/>
  <c r="J10" i="20"/>
  <c r="N9" i="20"/>
  <c r="J9" i="20"/>
  <c r="N8" i="20"/>
  <c r="J8" i="20"/>
  <c r="N7" i="20"/>
  <c r="J7" i="20"/>
  <c r="N6" i="20"/>
  <c r="J6" i="20"/>
  <c r="N5" i="20"/>
  <c r="J5" i="20"/>
  <c r="N4" i="20"/>
  <c r="J4" i="20"/>
  <c r="AM3" i="20"/>
  <c r="AI3" i="20"/>
  <c r="AL12" i="20"/>
  <c r="AH12" i="20"/>
  <c r="AL11" i="20"/>
  <c r="AH11" i="20"/>
  <c r="AL10" i="20"/>
  <c r="AH10" i="20"/>
  <c r="AL9" i="20"/>
  <c r="AH9" i="20"/>
  <c r="AL8" i="20"/>
  <c r="AH8" i="20"/>
  <c r="AL7" i="20"/>
  <c r="AH7" i="20"/>
  <c r="AL6" i="20"/>
  <c r="AH6" i="20"/>
  <c r="AL5" i="20"/>
  <c r="AH5" i="20"/>
  <c r="AL4" i="20"/>
  <c r="AH4" i="20"/>
  <c r="S19" i="20"/>
  <c r="O19" i="20"/>
  <c r="R28" i="20"/>
  <c r="N28" i="20"/>
  <c r="R27" i="20"/>
  <c r="N27" i="20"/>
  <c r="R26" i="20"/>
  <c r="N26" i="20"/>
  <c r="R25" i="20"/>
  <c r="N25" i="20"/>
  <c r="R24" i="20"/>
  <c r="N24" i="20"/>
  <c r="R23" i="20"/>
  <c r="N23" i="20"/>
  <c r="R22" i="20"/>
  <c r="N22" i="20"/>
  <c r="R21" i="20"/>
  <c r="N21" i="20"/>
  <c r="R20" i="20"/>
  <c r="N20" i="20"/>
  <c r="AE19" i="20"/>
  <c r="AA19" i="20"/>
  <c r="AD28" i="20"/>
  <c r="Z28" i="20"/>
  <c r="AD27" i="20"/>
  <c r="Z27" i="20"/>
  <c r="AD26" i="20"/>
  <c r="Z26" i="20"/>
  <c r="AD25" i="20"/>
  <c r="Z25" i="20"/>
  <c r="AD24" i="20"/>
  <c r="Z24" i="20"/>
  <c r="AD23" i="20"/>
  <c r="Z23" i="20"/>
  <c r="AD22" i="20"/>
  <c r="Z22" i="20"/>
  <c r="AD21" i="20"/>
  <c r="Z21" i="20"/>
  <c r="AD20" i="20"/>
  <c r="Z20" i="20"/>
  <c r="AR19" i="20"/>
  <c r="AN19" i="20"/>
  <c r="AQ28" i="20"/>
  <c r="AM28" i="20"/>
  <c r="AQ27" i="20"/>
  <c r="AM27" i="20"/>
  <c r="AQ26" i="20"/>
  <c r="AM26" i="20"/>
  <c r="AQ25" i="20"/>
  <c r="AM25" i="20"/>
  <c r="AQ24" i="20"/>
  <c r="AM24" i="20"/>
  <c r="AQ23" i="20"/>
  <c r="AM23" i="20"/>
  <c r="AQ22" i="20"/>
  <c r="AM22" i="20"/>
  <c r="AQ21" i="20"/>
  <c r="AM21" i="20"/>
  <c r="AQ20" i="20"/>
  <c r="AM20" i="20"/>
  <c r="BK3" i="20"/>
  <c r="BG3" i="20"/>
  <c r="BJ12" i="20"/>
  <c r="BF12" i="20"/>
  <c r="BJ11" i="20"/>
  <c r="BF11" i="20"/>
  <c r="BJ10" i="20"/>
  <c r="BF10" i="20"/>
  <c r="BJ9" i="20"/>
  <c r="BF9" i="20"/>
  <c r="BJ8" i="20"/>
  <c r="BF8" i="20"/>
  <c r="BJ7" i="20"/>
  <c r="BF7" i="20"/>
  <c r="BJ6" i="20"/>
  <c r="BF6" i="20"/>
  <c r="BJ5" i="20"/>
  <c r="BF5" i="20"/>
  <c r="BJ4" i="20"/>
  <c r="BF4" i="20"/>
  <c r="AA3" i="20"/>
  <c r="W3" i="20"/>
  <c r="Z12" i="20"/>
  <c r="V12" i="20"/>
  <c r="Z11" i="20"/>
  <c r="V11" i="20"/>
  <c r="Z10" i="20"/>
  <c r="V10" i="20"/>
  <c r="Z9" i="20"/>
  <c r="V9" i="20"/>
  <c r="Z8" i="20"/>
  <c r="V8" i="20"/>
  <c r="Z7" i="20"/>
  <c r="V7" i="20"/>
  <c r="Z6" i="20"/>
  <c r="V6" i="20"/>
  <c r="Z5" i="20"/>
  <c r="V5" i="20"/>
  <c r="Z4" i="20"/>
  <c r="V4" i="20"/>
  <c r="AY3" i="20"/>
  <c r="AU3" i="20"/>
  <c r="AX12" i="20"/>
  <c r="AT12" i="20"/>
  <c r="AX11" i="20"/>
  <c r="AT11" i="20"/>
  <c r="AX10" i="20"/>
  <c r="AT10" i="20"/>
  <c r="AX9" i="20"/>
  <c r="AT9" i="20"/>
  <c r="AX8" i="20"/>
  <c r="AT8" i="20"/>
  <c r="AX7" i="20"/>
  <c r="AT7" i="20"/>
  <c r="AX6" i="20"/>
  <c r="AT6" i="20"/>
  <c r="AX5" i="20"/>
  <c r="AT5" i="20"/>
  <c r="AX4" i="20"/>
  <c r="AT4" i="20"/>
  <c r="J3" i="20"/>
  <c r="I12" i="20"/>
  <c r="M11" i="20"/>
  <c r="I11" i="20"/>
  <c r="M10" i="20"/>
  <c r="I10" i="20"/>
  <c r="M9" i="20"/>
  <c r="I9" i="20"/>
  <c r="M8" i="20"/>
  <c r="I8" i="20"/>
  <c r="M7" i="20"/>
  <c r="I7" i="20"/>
  <c r="M6" i="20"/>
  <c r="I6" i="20"/>
  <c r="M5" i="20"/>
  <c r="I5" i="20"/>
  <c r="M4" i="20"/>
  <c r="I4" i="20"/>
  <c r="AL3" i="20"/>
  <c r="AH3" i="20"/>
  <c r="AK12" i="20"/>
  <c r="AG12" i="20"/>
  <c r="AK11" i="20"/>
  <c r="AG11" i="20"/>
  <c r="AK10" i="20"/>
  <c r="AG10" i="20"/>
  <c r="AK9" i="20"/>
  <c r="AG9" i="20"/>
  <c r="AK8" i="20"/>
  <c r="AG8" i="20"/>
  <c r="AK7" i="20"/>
  <c r="AG7" i="20"/>
  <c r="AK6" i="20"/>
  <c r="AG6" i="20"/>
  <c r="AK5" i="20"/>
  <c r="AG5" i="20"/>
  <c r="AK4" i="20"/>
  <c r="AG4" i="20"/>
  <c r="R19" i="20"/>
  <c r="N19" i="20"/>
  <c r="Q28" i="20"/>
  <c r="M28" i="20"/>
  <c r="Q27" i="20"/>
  <c r="M27" i="20"/>
  <c r="Q26" i="20"/>
  <c r="M26" i="20"/>
  <c r="Q25" i="20"/>
  <c r="M25" i="20"/>
  <c r="Q24" i="20"/>
  <c r="M24" i="20"/>
  <c r="Q23" i="20"/>
  <c r="M23" i="20"/>
  <c r="Q22" i="20"/>
  <c r="M22" i="20"/>
  <c r="Q21" i="20"/>
  <c r="M21" i="20"/>
  <c r="Q20" i="20"/>
  <c r="M20" i="20"/>
  <c r="AD19" i="20"/>
  <c r="Z19" i="20"/>
  <c r="AC28" i="20"/>
  <c r="Y28" i="20"/>
  <c r="AC27" i="20"/>
  <c r="Y27" i="20"/>
  <c r="AC26" i="20"/>
  <c r="Y26" i="20"/>
  <c r="AC25" i="20"/>
  <c r="Y25" i="20"/>
  <c r="AC24" i="20"/>
  <c r="Y24" i="20"/>
  <c r="AC23" i="20"/>
  <c r="Y23" i="20"/>
  <c r="AC22" i="20"/>
  <c r="Y22" i="20"/>
  <c r="AC21" i="20"/>
  <c r="Y21" i="20"/>
  <c r="AC20" i="20"/>
  <c r="Y20" i="20"/>
  <c r="AQ19" i="20"/>
  <c r="AM19" i="20"/>
  <c r="AP28" i="20"/>
  <c r="AL28" i="20"/>
  <c r="AP27" i="20"/>
  <c r="AL27" i="20"/>
  <c r="AP26" i="20"/>
  <c r="AL26" i="20"/>
  <c r="AP25" i="20"/>
  <c r="AL25" i="20"/>
  <c r="AP24" i="20"/>
  <c r="AL24" i="20"/>
  <c r="AP23" i="20"/>
  <c r="AL23" i="20"/>
  <c r="AP22" i="20"/>
  <c r="AL22" i="20"/>
  <c r="AP21" i="20"/>
  <c r="AL21" i="20"/>
  <c r="AP20" i="20"/>
  <c r="AL20" i="20"/>
  <c r="BJ3" i="20"/>
  <c r="BF3" i="20"/>
  <c r="BI12" i="20"/>
  <c r="BE12" i="20"/>
  <c r="BI11" i="20"/>
  <c r="BE11" i="20"/>
  <c r="BI10" i="20"/>
  <c r="BE10" i="20"/>
  <c r="BI9" i="20"/>
  <c r="BE9" i="20"/>
  <c r="BI8" i="20"/>
  <c r="BE8" i="20"/>
  <c r="BI7" i="20"/>
  <c r="BE7" i="20"/>
  <c r="BI6" i="20"/>
  <c r="BE6" i="20"/>
  <c r="BI5" i="20"/>
  <c r="BE5" i="20"/>
  <c r="BI4" i="20"/>
  <c r="BE4" i="20"/>
  <c r="Z3" i="20"/>
  <c r="V3" i="20"/>
  <c r="Y12" i="20"/>
  <c r="U12" i="20"/>
  <c r="Y11" i="20"/>
  <c r="U11" i="20"/>
  <c r="Y10" i="20"/>
  <c r="U10" i="20"/>
  <c r="Y9" i="20"/>
  <c r="U9" i="20"/>
  <c r="Y8" i="20"/>
  <c r="U8" i="20"/>
  <c r="Y7" i="20"/>
  <c r="U7" i="20"/>
  <c r="Y6" i="20"/>
  <c r="U6" i="20"/>
  <c r="Y5" i="20"/>
  <c r="U5" i="20"/>
  <c r="Y4" i="20"/>
  <c r="U4" i="20"/>
  <c r="AX3" i="20"/>
  <c r="AT3" i="20"/>
  <c r="AW12" i="20"/>
  <c r="AS12" i="20"/>
  <c r="AW11" i="20"/>
  <c r="AS11" i="20"/>
  <c r="AW10" i="20"/>
  <c r="AS10" i="20"/>
  <c r="AW9" i="20"/>
  <c r="AS9" i="20"/>
  <c r="AW8" i="20"/>
  <c r="AS8" i="20"/>
  <c r="AW7" i="20"/>
  <c r="AS7" i="20"/>
  <c r="AW6" i="20"/>
  <c r="AS6" i="20"/>
  <c r="AW5" i="20"/>
  <c r="AS5" i="20"/>
  <c r="AW4" i="20"/>
  <c r="AS4" i="20"/>
  <c r="F10" i="6"/>
  <c r="H10" i="6" s="1" a="1"/>
  <c r="H10" i="6" s="1"/>
  <c r="B24" i="20" s="1"/>
  <c r="F2" i="6"/>
  <c r="H2" i="6" s="1" a="1"/>
  <c r="H2" i="6" s="1"/>
  <c r="F9" i="6"/>
  <c r="H9" i="6" s="1" a="1"/>
  <c r="H9" i="6" s="1"/>
  <c r="F8" i="6"/>
  <c r="H8" i="6" s="1" a="1"/>
  <c r="H8" i="6" s="1"/>
  <c r="F7" i="6"/>
  <c r="H7" i="6" s="1" a="1"/>
  <c r="H7" i="6" s="1"/>
  <c r="F6" i="6"/>
  <c r="H6" i="6" s="1" a="1"/>
  <c r="H6" i="6" s="1"/>
  <c r="F5" i="6"/>
  <c r="H5" i="6" s="1" a="1"/>
  <c r="H5" i="6" s="1"/>
  <c r="F4" i="6"/>
  <c r="H4" i="6" s="1" a="1"/>
  <c r="H4" i="6" s="1"/>
  <c r="F3" i="6"/>
  <c r="H3" i="6" s="1" a="1"/>
  <c r="H3" i="6" s="1"/>
  <c r="B20" i="20" l="1"/>
  <c r="B22" i="20"/>
  <c r="B10" i="20"/>
  <c r="B8" i="20"/>
  <c r="B12" i="20"/>
  <c r="B16" i="20"/>
  <c r="B14" i="20"/>
  <c r="B18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F7242E-FB57-45A8-8039-C57C7D2C7A3B}" keepAlive="1" name="Query - ChangeTypeNoErrors" description="Connection to the 'ChangeTypeNoErrors' query in the workbook." type="5" refreshedVersion="0" background="1">
    <dbPr connection="Provider=Microsoft.Mashup.OleDb.1;Data Source=$Workbook$;Location=ChangeTypeNoErrors;Extended Properties=&quot;&quot;" command="SELECT * FROM [ChangeTypeNoErrors]"/>
  </connection>
  <connection id="2" xr16:uid="{7ED1F5F6-93B6-4832-B8AE-4F7BD7270C42}" keepAlive="1" name="Query - Class" description="Connection to the 'Class' query in the workbook." type="5" refreshedVersion="8" saveData="1">
    <dbPr connection="Provider=Microsoft.Mashup.OleDb.1;Data Source=$Workbook$;Location=Class;Extended Properties=&quot;&quot;" command="SELECT * FROM [Class]"/>
  </connection>
  <connection id="3" xr16:uid="{84627722-9E70-43A0-BBE0-B6D36612EEE0}" keepAlive="1" name="Query - Class_Roster" description="Connection to the 'Class_Roster' query in the workbook." type="5" refreshedVersion="8" saveData="1">
    <dbPr connection="Provider=Microsoft.Mashup.OleDb.1;Data Source=$Workbook$;Location=Class_Roster;Extended Properties=&quot;&quot;" command="SELECT * FROM [Class_Roster]"/>
  </connection>
  <connection id="4" xr16:uid="{83C6AF62-417F-4424-8434-B66381388371}" keepAlive="1" name="Query - Class_Roster-total-records" description="Connection to the 'Class_Roster-total-records' query in the workbook." type="5" refreshedVersion="0" saveData="1">
    <dbPr connection="Provider=Microsoft.Mashup.OleDb.1;Data Source=$Workbook$;Location=Class_Roster-total-records;Extended Properties=&quot;&quot;" command="SELECT * FROM [Class_Roster-total-records]"/>
  </connection>
  <connection id="5" xr16:uid="{DD60B6EF-D9A8-4155-A292-C685039D41CC}" keepAlive="1" name="Query - Class_Teacher" description="Connection to the 'Class_Teacher' query in the workbook." type="5" refreshedVersion="8" saveData="1">
    <dbPr connection="Provider=Microsoft.Mashup.OleDb.1;Data Source=$Workbook$;Location=Class_Teacher;Extended Properties=&quot;&quot;" command="SELECT * FROM [Class_Teacher]"/>
  </connection>
  <connection id="6" xr16:uid="{30EC6018-2C2C-406A-9DE0-235F8140F39F}" keepAlive="1" name="Query - Class_Teacher-total-records" description="Connection to the 'Class_Teacher-total-records' query in the workbook." type="5" refreshedVersion="0" saveData="1">
    <dbPr connection="Provider=Microsoft.Mashup.OleDb.1;Data Source=$Workbook$;Location=Class_Teacher-total-records;Extended Properties=&quot;&quot;" command="SELECT * FROM [Class_Teacher-total-records]"/>
  </connection>
  <connection id="7" xr16:uid="{91DCE892-D3CE-49EE-9D17-3BA98D97DAE8}" keepAlive="1" name="Query - Class-errors" description="Connection to the 'Class-errors' query in the workbook." type="5" refreshedVersion="8" saveData="1">
    <dbPr connection="Provider=Microsoft.Mashup.OleDb.1;Data Source=$Workbook$;Location=Class-errors;Extended Properties=&quot;&quot;" command="SELECT * FROM [Class-errors]"/>
  </connection>
  <connection id="8" xr16:uid="{C4D0AEC5-98BC-4F52-B19F-88D1298CC6E0}" keepAlive="1" name="Query - Class-Roster-errors" description="Connection to the 'Class-Roster-errors' query in the workbook." type="5" refreshedVersion="8" saveData="1">
    <dbPr connection="Provider=Microsoft.Mashup.OleDb.1;Data Source=$Workbook$;Location=Class-Roster-errors;Extended Properties=&quot;&quot;" command="SELECT * FROM [Class-Roster-errors]"/>
  </connection>
  <connection id="9" xr16:uid="{CF163008-21B6-44A1-B1FC-42751D1AEBE2}" keepAlive="1" name="Query - Class-Teacher-errors" description="Connection to the 'Class-Teacher-errors' query in the workbook." type="5" refreshedVersion="8" saveData="1">
    <dbPr connection="Provider=Microsoft.Mashup.OleDb.1;Data Source=$Workbook$;Location=Class-Teacher-errors;Extended Properties=&quot;&quot;" command="SELECT * FROM [Class-Teacher-errors]"/>
  </connection>
  <connection id="10" xr16:uid="{4ED6021D-5EED-4435-B2DE-581E0F231FE6}" keepAlive="1" name="Query - Class-total-records" description="Connection to the 'Class-total-records' query in the workbook." type="5" refreshedVersion="0" saveData="1">
    <dbPr connection="Provider=Microsoft.Mashup.OleDb.1;Data Source=$Workbook$;Location=Class-total-records;Extended Properties=&quot;&quot;" command="SELECT * FROM [Class-total-records]"/>
  </connection>
  <connection id="11" xr16:uid="{5074F1D6-A2E0-4BDB-9549-20932D4D4C1B}" keepAlive="1" name="Query - Contacts1" description="Connection to the 'Contacts' query in the workbook." type="5" refreshedVersion="8" saveData="1">
    <dbPr connection="Provider=Microsoft.Mashup.OleDb.1;Data Source=$Workbook$;Location=Contacts;Extended Properties=&quot;&quot;" command="SELECT * FROM [Contacts]"/>
  </connection>
  <connection id="12" xr16:uid="{86A9639E-4358-421F-9B40-3C2AEE7DBDAF}" keepAlive="1" name="Query - Contacts-errors1" description="Connection to the 'Contacts-errors' query in the workbook." type="5" refreshedVersion="8" saveData="1">
    <dbPr connection="Provider=Microsoft.Mashup.OleDb.1;Data Source=$Workbook$;Location=Contacts-errors;Extended Properties=&quot;&quot;" command="SELECT * FROM [Contacts-errors]"/>
  </connection>
  <connection id="13" xr16:uid="{32C3F671-64C7-4DD7-8111-08F576B7E9F1}" keepAlive="1" name="Query - Contacts-total-records" description="Connection to the 'Contacts-total-records' query in the workbook." type="5" refreshedVersion="0" saveData="1">
    <dbPr connection="Provider=Microsoft.Mashup.OleDb.1;Data Source=$Workbook$;Location=Contacts-total-records;Extended Properties=&quot;&quot;" command="SELECT * FROM [Contacts-total-records]"/>
  </connection>
  <connection id="14" xr16:uid="{CE2D0E0E-D758-493D-AF39-1D1C67CE2A75}" keepAlive="1" name="Query - empty_error" description="Connection to the 'empty_error' query in the workbook." type="5" refreshedVersion="0" background="1">
    <dbPr connection="Provider=Microsoft.Mashup.OleDb.1;Data Source=$Workbook$;Location=empty_error;Extended Properties=&quot;&quot;" command="SELECT * FROM [empty_error]"/>
  </connection>
  <connection id="15" xr16:uid="{7D7A53F4-A2BB-4A87-A669-0AD2745ADD90}" keepAlive="1" name="Query - Empty_file" description="Connection to the 'Empty_file' query in the workbook." type="5" refreshedVersion="0" background="1">
    <dbPr connection="Provider=Microsoft.Mashup.OleDb.1;Data Source=$Workbook$;Location=Empty_file;Extended Properties=&quot;&quot;" command="SELECT * FROM [Empty_file]"/>
  </connection>
  <connection id="16" xr16:uid="{BF4C9A42-2889-4FC9-95F9-788EEEEBCC4A}" keepAlive="1" name="Query - Faculty1" description="Connection to the 'Faculty' query in the workbook." type="5" refreshedVersion="8" saveData="1">
    <dbPr connection="Provider=Microsoft.Mashup.OleDb.1;Data Source=$Workbook$;Location=Faculty;Extended Properties=&quot;&quot;" command="SELECT * FROM [Faculty]"/>
  </connection>
  <connection id="17" xr16:uid="{DD549F30-DF60-40F4-B38F-39924C4695CC}" keepAlive="1" name="Query - Faculty-errors" description="Connection to the 'Faculty-errors' query in the workbook." type="5" refreshedVersion="8" saveData="1">
    <dbPr connection="Provider=Microsoft.Mashup.OleDb.1;Data Source=$Workbook$;Location=Faculty-errors;Extended Properties=&quot;&quot;" command="SELECT * FROM [Faculty-errors]"/>
  </connection>
  <connection id="18" xr16:uid="{14853263-211E-4666-B0A9-4B32181154CC}" keepAlive="1" name="Query - Faculty-total-records" description="Connection to the 'Faculty-total-records' query in the workbook." type="5" refreshedVersion="0" saveData="1">
    <dbPr connection="Provider=Microsoft.Mashup.OleDb.1;Data Source=$Workbook$;Location=Faculty-total-records;Extended Properties=&quot;&quot;" command="SELECT * FROM [Faculty-total-records]"/>
  </connection>
  <connection id="19" xr16:uid="{A6D1CDDD-BD01-40A0-819C-F894949542B0}" keepAlive="1" name="Query - heatmap" description="Connection to the 'heatmap' query in the workbook." type="5" refreshedVersion="8" saveData="1">
    <dbPr connection="Provider=Microsoft.Mashup.OleDb.1;Data Source=$Workbook$;Location=heatmap;Extended Properties=&quot;&quot;" command="SELECT * FROM [heatmap]"/>
  </connection>
  <connection id="20" xr16:uid="{08C4BF07-8155-48A4-9807-4657A601DAF2}" keepAlive="1" name="Query - Immunizations" description="Connection to the 'Immunizations' query in the workbook." type="5" refreshedVersion="8" saveData="1">
    <dbPr connection="Provider=Microsoft.Mashup.OleDb.1;Data Source=$Workbook$;Location=Immunizations;Extended Properties=&quot;&quot;" command="SELECT * FROM [Immunizations]"/>
  </connection>
  <connection id="21" xr16:uid="{54F44C41-EF2B-4B58-BA7B-1137A625D1C9}" keepAlive="1" name="Query - Immunizations-errors" description="Connection to the 'Immunizations-errors' query in the workbook." type="5" refreshedVersion="8" saveData="1">
    <dbPr connection="Provider=Microsoft.Mashup.OleDb.1;Data Source=$Workbook$;Location=Immunizations-errors;Extended Properties=&quot;&quot;" command="SELECT * FROM [Immunizations-errors]"/>
  </connection>
  <connection id="22" xr16:uid="{D725D13E-403F-4520-95BF-71863A24CB39}" keepAlive="1" name="Query - Immunizations-total-records" description="Connection to the 'Immunizations-total-records' query in the workbook." type="5" refreshedVersion="0" saveData="1">
    <dbPr connection="Provider=Microsoft.Mashup.OleDb.1;Data Source=$Workbook$;Location=Immunizations-total-records;Extended Properties=&quot;&quot;" command="SELECT * FROM [Immunizations-total-records]"/>
  </connection>
  <connection id="23" xr16:uid="{E4CF3AA4-A34B-464C-8353-B6E25CDC2E25}" keepAlive="1" name="Query - Medical_Alerts" description="Connection to the 'Medical_Alerts' query in the workbook." type="5" refreshedVersion="8" saveData="1">
    <dbPr connection="Provider=Microsoft.Mashup.OleDb.1;Data Source=$Workbook$;Location=Medical_Alerts;Extended Properties=&quot;&quot;" command="SELECT * FROM [Medical_Alerts]"/>
  </connection>
  <connection id="24" xr16:uid="{C155FD18-9154-4525-99B8-C170072E6126}" keepAlive="1" name="Query - Medical_Alerts-total-records" description="Connection to the 'Medical_Alerts-total-records' query in the workbook." type="5" refreshedVersion="0" saveData="1">
    <dbPr connection="Provider=Microsoft.Mashup.OleDb.1;Data Source=$Workbook$;Location=Medical_Alerts-total-records;Extended Properties=&quot;&quot;" command="SELECT * FROM [Medical_Alerts-total-records]"/>
  </connection>
  <connection id="25" xr16:uid="{8287DE16-B829-4D80-BFED-F0CA13499494}" keepAlive="1" name="Query - Medical-Alerts-errors" description="Connection to the 'Medical-Alerts-errors' query in the workbook." type="5" refreshedVersion="8" saveData="1">
    <dbPr connection="Provider=Microsoft.Mashup.OleDb.1;Data Source=$Workbook$;Location=Medical-Alerts-errors;Extended Properties=&quot;&quot;" command="SELECT * FROM [Medical-Alerts-errors]"/>
  </connection>
  <connection id="26" xr16:uid="{4687FCE5-0253-4928-B41D-484B802A2CD9}" keepAlive="1" name="Query - No_Errors" description="Connection to the 'No_Errors' query in the workbook." type="5" refreshedVersion="0" saveData="1">
    <dbPr connection="Provider=Microsoft.Mashup.OleDb.1;Data Source=$Workbook$;Location=No_Errors;Extended Properties=&quot;&quot;" command="SELECT * FROM [No_Errors]"/>
  </connection>
  <connection id="27" xr16:uid="{9A19F23B-2A38-4BBF-A12A-B396F6BD1659}" keepAlive="1" name="Query - Records_No_Errors" description="Connection to the 'Records_No_Errors' query in the workbook." type="5" refreshedVersion="0" background="1">
    <dbPr connection="Provider=Microsoft.Mashup.OleDb.1;Data Source=$Workbook$;Location=Records_No_Errors;Extended Properties=&quot;&quot;" command="SELECT * FROM [Records_No_Errors]"/>
  </connection>
  <connection id="28" xr16:uid="{BCE22427-E7D6-47D2-BDD5-EFA38990D693}" keepAlive="1" name="Query - Schools1" description="Connection to the 'Schools' query in the workbook." type="5" refreshedVersion="8" saveData="1">
    <dbPr connection="Provider=Microsoft.Mashup.OleDb.1;Data Source=$Workbook$;Location=Schools;Extended Properties=&quot;&quot;" command="SELECT * FROM [Schools]"/>
  </connection>
  <connection id="29" xr16:uid="{41D2D5EF-3A5A-4FCE-A510-823F704C96F2}" keepAlive="1" name="Query - Schools-errors" description="Connection to the 'Schools-errors' query in the workbook." type="5" refreshedVersion="8" saveData="1">
    <dbPr connection="Provider=Microsoft.Mashup.OleDb.1;Data Source=$Workbook$;Location=Schools-errors;Extended Properties=&quot;&quot;" command="SELECT * FROM [Schools-errors]"/>
  </connection>
  <connection id="30" xr16:uid="{033E5AAB-CC42-4ACA-B714-7B8DF97C4FFD}" keepAlive="1" name="Query - Schools-total-records" description="Connection to the 'Schools-total-records' query in the workbook." type="5" refreshedVersion="0" saveData="1">
    <dbPr connection="Provider=Microsoft.Mashup.OleDb.1;Data Source=$Workbook$;Location=Schools-total-records;Extended Properties=&quot;&quot;" command="SELECT * FROM [Schools-total-records]"/>
  </connection>
  <connection id="31" xr16:uid="{70395575-A2AE-43E8-ADD7-27AACD87A968}" keepAlive="1" name="Query - Source" description="Connection to the 'Source' query in the workbook." type="5" refreshedVersion="0" saveData="1">
    <dbPr connection="Provider=Microsoft.Mashup.OleDb.1;Data Source=$Workbook$;Location=Source;Extended Properties=&quot;&quot;" command="SELECT * FROM [Source]"/>
  </connection>
  <connection id="32" xr16:uid="{F25716AE-576D-45A6-A99E-418D766AA561}" keepAlive="1" name="Query - Students1" description="Connection to the 'Students' query in the workbook." type="5" refreshedVersion="8" saveData="1">
    <dbPr connection="Provider=Microsoft.Mashup.OleDb.1;Data Source=$Workbook$;Location=Students;Extended Properties=&quot;&quot;" command="SELECT * FROM [Students]"/>
  </connection>
  <connection id="33" xr16:uid="{5051C72D-17C7-4674-B568-84DA8EF1D7F3}" keepAlive="1" name="Query - Students-errors" description="Connection to the 'Students-errors' query in the workbook." type="5" refreshedVersion="8" saveData="1">
    <dbPr connection="Provider=Microsoft.Mashup.OleDb.1;Data Source=$Workbook$;Location=Students-errors;Extended Properties=&quot;&quot;" command="SELECT * FROM [Students-errors]"/>
  </connection>
  <connection id="34" xr16:uid="{A7D72AE8-265E-4999-8449-DF392B05E765}" keepAlive="1" name="Query - Students-total-records" description="Connection to the 'Students-total-records' query in the workbook." type="5" refreshedVersion="0" saveData="1">
    <dbPr connection="Provider=Microsoft.Mashup.OleDb.1;Data Source=$Workbook$;Location=Students-total-records;Extended Properties=&quot;&quot;" command="SELECT * FROM [Students-total-records]"/>
  </connection>
  <connection id="35" xr16:uid="{FEAABD72-D275-44BB-AB97-BCA1D957CDB4}" keepAlive="1" name="Query - Total-Records" description="Connection to the 'Total-Records' query in the workbook." type="5" refreshedVersion="8" saveData="1">
    <dbPr connection="Provider=Microsoft.Mashup.OleDb.1;Data Source=$Workbook$;Location=Total-Records;Extended Properties=&quot;&quot;" command="SELECT * FROM [Total-Record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</futureMetadata>
  <cellMetadata count="1">
    <bk>
      <rc t="1" v="0"/>
    </bk>
  </cellMetadata>
  <valueMetadata count="18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</valueMetadata>
</metadata>
</file>

<file path=xl/sharedStrings.xml><?xml version="1.0" encoding="utf-8"?>
<sst xmlns="http://schemas.openxmlformats.org/spreadsheetml/2006/main" count="83" uniqueCount="30">
  <si>
    <t>FolderPath</t>
  </si>
  <si>
    <t>Errors</t>
  </si>
  <si>
    <t>Total Errors</t>
  </si>
  <si>
    <t>Students</t>
  </si>
  <si>
    <t>Contacts</t>
  </si>
  <si>
    <t>Faculty</t>
  </si>
  <si>
    <t>Class</t>
  </si>
  <si>
    <t>Class Teacher</t>
  </si>
  <si>
    <t>Class Roster</t>
  </si>
  <si>
    <t>Schools</t>
  </si>
  <si>
    <t>Medical Alerts</t>
  </si>
  <si>
    <t>% Valid</t>
  </si>
  <si>
    <t>Remainder</t>
  </si>
  <si>
    <t>Immunizations</t>
  </si>
  <si>
    <t>students</t>
  </si>
  <si>
    <t>schools</t>
  </si>
  <si>
    <t>faculty</t>
  </si>
  <si>
    <t>contacts</t>
  </si>
  <si>
    <t>class</t>
  </si>
  <si>
    <t>class_teacher</t>
  </si>
  <si>
    <t>class_roster</t>
  </si>
  <si>
    <t>medical_alerts</t>
  </si>
  <si>
    <t>Value</t>
  </si>
  <si>
    <t>Count</t>
  </si>
  <si>
    <t>Immunization</t>
  </si>
  <si>
    <t>Attribute</t>
  </si>
  <si>
    <t>No Errors</t>
  </si>
  <si>
    <t>Validation_Errors</t>
  </si>
  <si>
    <t>D:\Users\rdalida\Downloads\New folder</t>
  </si>
  <si>
    <t>student_immunization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</si>
</sst>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"/>
  </numFmts>
  <fonts count="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0"/>
      <name val="Aptos Narrow"/>
      <family val="2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A2663"/>
        <bgColor indexed="64"/>
      </patternFill>
    </fill>
    <fill>
      <patternFill patternType="solid">
        <fgColor rgb="FF110626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130526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2" fillId="2" borderId="0" xfId="0" applyFont="1" applyFill="1"/>
    <xf numFmtId="0" fontId="0" fillId="3" borderId="0" xfId="0" applyFill="1"/>
    <xf numFmtId="0" fontId="0" fillId="2" borderId="0" xfId="0" applyFill="1" applyAlignment="1">
      <alignment horizontal="center"/>
    </xf>
    <xf numFmtId="4" fontId="0" fillId="0" borderId="0" xfId="0" applyNumberFormat="1"/>
    <xf numFmtId="9" fontId="0" fillId="0" borderId="0" xfId="0" applyNumberFormat="1"/>
    <xf numFmtId="4" fontId="0" fillId="2" borderId="0" xfId="0" applyNumberFormat="1" applyFill="1"/>
    <xf numFmtId="164" fontId="0" fillId="2" borderId="1" xfId="0" applyNumberFormat="1" applyFill="1" applyBorder="1"/>
    <xf numFmtId="0" fontId="0" fillId="0" borderId="0" xfId="0" quotePrefix="1"/>
    <xf numFmtId="0" fontId="2" fillId="3" borderId="0" xfId="0" applyFont="1" applyFill="1"/>
    <xf numFmtId="164" fontId="0" fillId="3" borderId="1" xfId="0" applyNumberFormat="1" applyFill="1" applyBorder="1"/>
    <xf numFmtId="0" fontId="0" fillId="4" borderId="0" xfId="0" applyFill="1"/>
    <xf numFmtId="0" fontId="3" fillId="4" borderId="0" xfId="0" applyFont="1" applyFill="1" applyAlignment="1">
      <alignment horizontal="left"/>
    </xf>
    <xf numFmtId="0" fontId="0" fillId="5" borderId="0" xfId="0" applyFill="1"/>
    <xf numFmtId="0" fontId="4" fillId="5" borderId="0" xfId="0" applyFont="1" applyFill="1"/>
    <xf numFmtId="0" fontId="6" fillId="5" borderId="0" xfId="0" applyFont="1" applyFill="1" applyAlignment="1">
      <alignment vertical="center"/>
    </xf>
    <xf numFmtId="164" fontId="0" fillId="5" borderId="1" xfId="0" applyNumberFormat="1" applyFill="1" applyBorder="1"/>
    <xf numFmtId="3" fontId="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1" fillId="6" borderId="3" xfId="0" applyFont="1" applyFill="1" applyBorder="1"/>
    <xf numFmtId="0" fontId="1" fillId="6" borderId="4" xfId="0" applyFont="1" applyFill="1" applyBorder="1"/>
    <xf numFmtId="0" fontId="0" fillId="0" borderId="0" xfId="0" applyAlignment="1">
      <alignment horizontal="centerContinuous"/>
    </xf>
    <xf numFmtId="3" fontId="8" fillId="0" borderId="0" xfId="0" applyNumberFormat="1" applyFont="1"/>
    <xf numFmtId="0" fontId="3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5" borderId="2" xfId="0" applyFont="1" applyFill="1" applyBorder="1" applyAlignment="1">
      <alignment horizontal="center"/>
    </xf>
  </cellXfs>
  <cellStyles count="1">
    <cellStyle name="Normal" xfId="0" builtinId="0"/>
  </cellStyles>
  <dxfs count="78"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3" formatCode="#,##0"/>
    </dxf>
    <dxf>
      <font>
        <sz val="14"/>
      </font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font>
        <sz val="14"/>
      </font>
    </dxf>
    <dxf>
      <numFmt numFmtId="3" formatCode="#,##0"/>
    </dxf>
    <dxf>
      <numFmt numFmtId="3" formatCode="#,##0"/>
    </dxf>
    <dxf>
      <font>
        <sz val="14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font>
        <sz val="14"/>
      </font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font>
        <sz val="14"/>
      </font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font>
        <sz val="14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font>
        <sz val="14"/>
      </font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font>
        <sz val="14"/>
      </font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font>
        <sz val="14"/>
      </font>
    </dxf>
    <dxf>
      <numFmt numFmtId="3" formatCode="#,##0"/>
    </dxf>
    <dxf>
      <numFmt numFmtId="3" formatCode="#,##0"/>
    </dxf>
    <dxf>
      <font>
        <color rgb="FF3A2663"/>
      </font>
      <fill>
        <patternFill patternType="solid">
          <fgColor theme="0" tint="-0.14999847407452621"/>
          <bgColor theme="0" tint="-0.14999847407452621"/>
        </patternFill>
      </fill>
    </dxf>
    <dxf>
      <font>
        <color rgb="FF3A2663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color rgb="FFFF0000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0" tint="-0.249977111117893"/>
          <bgColor theme="0" tint="-0.249977111117893"/>
        </patternFill>
      </fill>
    </dxf>
    <dxf>
      <font>
        <color rgb="FFFF0000"/>
      </font>
      <border>
        <left style="medium">
          <color theme="0" tint="-0.249977111117893"/>
        </left>
        <right style="medium">
          <color theme="0" tint="-0.249977111117893"/>
        </right>
        <top style="medium">
          <color theme="0" tint="-0.249977111117893"/>
        </top>
        <bottom style="medium">
          <color theme="0" tint="-0.249977111117893"/>
        </bottom>
      </border>
    </dxf>
    <dxf>
      <font>
        <color rgb="FF3A2663"/>
      </font>
    </dxf>
    <dxf>
      <border>
        <top style="thin">
          <color theme="0" tint="-0.249977111117893"/>
        </top>
        <bottom style="thin">
          <color theme="0" tint="-0.249977111117893"/>
        </bottom>
        <horizontal style="thin">
          <color theme="0" tint="-0.249977111117893"/>
        </horizontal>
      </border>
    </dxf>
    <dxf>
      <font>
        <b/>
        <color theme="1"/>
      </font>
      <border>
        <top style="thin">
          <color theme="1"/>
        </top>
        <bottom style="medium">
          <color theme="1" tint="0.499984740745262"/>
        </bottom>
      </border>
    </dxf>
    <dxf>
      <font>
        <color rgb="FF3A2663"/>
      </font>
      <fill>
        <patternFill patternType="solid">
          <fgColor rgb="FF3A2663"/>
          <bgColor rgb="FF3A2663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rgb="FF3A2663"/>
        </patternFill>
      </fill>
    </dxf>
  </dxfs>
  <tableStyles count="1" defaultTableStyle="TableStyleMedium2" defaultPivotStyle="PivotStyleLight16">
    <tableStyle name="Custom" table="0" count="12" xr9:uid="{BC72B1FC-8B07-4EAB-8DA8-11DBDDAAC79D}">
      <tableStyleElement type="wholeTable" dxfId="77"/>
      <tableStyleElement type="headerRow" dxfId="76"/>
      <tableStyleElement type="totalRow" dxfId="75"/>
      <tableStyleElement type="firstRowStripe" dxfId="74"/>
      <tableStyleElement type="firstHeaderCell" dxfId="73"/>
      <tableStyleElement type="firstSubtotalColumn" dxfId="72"/>
      <tableStyleElement type="firstSubtotalRow" dxfId="71"/>
      <tableStyleElement type="secondSubtotalRow" dxfId="70"/>
      <tableStyleElement type="firstRowSubheading" dxfId="69"/>
      <tableStyleElement type="secondRowSubheading" dxfId="68"/>
      <tableStyleElement type="pageFieldLabels" dxfId="67"/>
      <tableStyleElement type="pageFieldValues" dxfId="66"/>
    </tableStyle>
  </tableStyles>
  <colors>
    <mruColors>
      <color rgb="FF3A2663"/>
      <color rgb="FF130526"/>
      <color rgb="FFFF7C8C"/>
      <color rgb="FF46327A"/>
      <color rgb="FF332057"/>
      <color rgb="FFAECEFF"/>
      <color rgb="FF8197FE"/>
      <color rgb="FF414C56"/>
      <color rgb="FF48CAE4"/>
      <color rgb="FF1106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styles" Target="styles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4.xml"/><Relationship Id="rId10" Type="http://schemas.openxmlformats.org/officeDocument/2006/relationships/pivotCacheDefinition" Target="pivotCache/pivotCacheDefinition5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microsoft.com/office/2017/06/relationships/rdRichValueStructure" Target="richData/rdrichvaluestructure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'All-report'!$E$9</c:f>
              <c:strCache>
                <c:ptCount val="1"/>
                <c:pt idx="0">
                  <c:v>Students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414C5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C4A-49EA-8168-8125917A287F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3C4A-49EA-8168-8125917A287F}"/>
              </c:ext>
            </c:extLst>
          </c:dPt>
          <c:val>
            <c:numRef>
              <c:f>'All-report'!$F$9:$G$9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4A-49EA-8168-8125917A2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'All-report'!$E$5</c:f>
              <c:strCache>
                <c:ptCount val="1"/>
                <c:pt idx="0">
                  <c:v>Contacts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414C5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7D-4ABB-9D3E-3EA09877E821}"/>
              </c:ext>
            </c:extLst>
          </c:dPt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577D-4ABB-9D3E-3EA09877E821}"/>
              </c:ext>
            </c:extLst>
          </c:dPt>
          <c:val>
            <c:numRef>
              <c:f>'All-report'!$F$5:$G$5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7D-4ABB-9D3E-3EA09877E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'All-report'!$E$8</c:f>
              <c:strCache>
                <c:ptCount val="1"/>
                <c:pt idx="0">
                  <c:v>Schools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414C5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70-48E1-8DEA-955EBF18066F}"/>
              </c:ext>
            </c:extLst>
          </c:dPt>
          <c:dPt>
            <c:idx val="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>
                <a:glow rad="63500">
                  <a:schemeClr val="accent5">
                    <a:lumMod val="60000"/>
                    <a:lumOff val="40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4070-48E1-8DEA-955EBF18066F}"/>
              </c:ext>
            </c:extLst>
          </c:dPt>
          <c:val>
            <c:numRef>
              <c:f>'All-report'!$F$8:$G$8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70-48E1-8DEA-955EBF180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'All-report'!$E$4</c:f>
              <c:strCache>
                <c:ptCount val="1"/>
                <c:pt idx="0">
                  <c:v>Class Teacher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414C5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62-429C-8159-1639BCDE3EC3}"/>
              </c:ext>
            </c:extLst>
          </c:dPt>
          <c:dPt>
            <c:idx val="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noFill/>
              </a:ln>
              <a:effectLst>
                <a:glow rad="63500">
                  <a:schemeClr val="accent5">
                    <a:lumMod val="60000"/>
                    <a:lumOff val="40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A662-429C-8159-1639BCDE3EC3}"/>
              </c:ext>
            </c:extLst>
          </c:dPt>
          <c:val>
            <c:numRef>
              <c:f>'All-report'!$F$4:$G$4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62-429C-8159-1639BCDE3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'All-report'!$E$2</c:f>
              <c:strCache>
                <c:ptCount val="1"/>
                <c:pt idx="0">
                  <c:v>Class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414C5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67-47BA-A04D-27D632A14735}"/>
              </c:ext>
            </c:extLst>
          </c:dPt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>
                <a:glow rad="63500">
                  <a:schemeClr val="accent3">
                    <a:lumMod val="60000"/>
                    <a:lumOff val="40000"/>
                    <a:alpha val="40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6B67-47BA-A04D-27D632A14735}"/>
              </c:ext>
            </c:extLst>
          </c:dPt>
          <c:val>
            <c:numRef>
              <c:f>'All-report'!$F$2:$G$2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67-47BA-A04D-27D632A14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'All-report'!$E$6</c:f>
              <c:strCache>
                <c:ptCount val="1"/>
                <c:pt idx="0">
                  <c:v>Faculty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414C5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49C-43FC-8632-65038729A09E}"/>
              </c:ext>
            </c:extLst>
          </c:dPt>
          <c:dPt>
            <c:idx val="1"/>
            <c:bubble3D val="0"/>
            <c:spPr>
              <a:solidFill>
                <a:srgbClr val="8197FE"/>
              </a:solidFill>
              <a:ln w="19050">
                <a:noFill/>
              </a:ln>
              <a:effectLst>
                <a:glow rad="63500">
                  <a:srgbClr val="8197FE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F49C-43FC-8632-65038729A09E}"/>
              </c:ext>
            </c:extLst>
          </c:dPt>
          <c:val>
            <c:numRef>
              <c:f>'All-report'!$F$6:$G$6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9C-43FC-8632-65038729A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'All-report'!$E$3</c:f>
              <c:strCache>
                <c:ptCount val="1"/>
                <c:pt idx="0">
                  <c:v>Class Roster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414C5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24-4F64-B496-D032B681F4E5}"/>
              </c:ext>
            </c:extLst>
          </c:dPt>
          <c:dPt>
            <c:idx val="1"/>
            <c:bubble3D val="0"/>
            <c:spPr>
              <a:solidFill>
                <a:srgbClr val="8197FE"/>
              </a:solidFill>
              <a:ln w="19050">
                <a:noFill/>
              </a:ln>
              <a:effectLst>
                <a:glow rad="63500">
                  <a:srgbClr val="8197FE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6524-4F64-B496-D032B681F4E5}"/>
              </c:ext>
            </c:extLst>
          </c:dPt>
          <c:val>
            <c:numRef>
              <c:f>'All-report'!$F$3:$G$3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24-4F64-B496-D032B681F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'All-report'!$E$7</c:f>
              <c:strCache>
                <c:ptCount val="1"/>
                <c:pt idx="0">
                  <c:v>Medical Alerts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>
              <a:glow rad="101600">
                <a:srgbClr val="FFC000">
                  <a:alpha val="60000"/>
                </a:srgbClr>
              </a:glow>
            </a:effectLst>
          </c:spPr>
          <c:dPt>
            <c:idx val="0"/>
            <c:bubble3D val="0"/>
            <c:spPr>
              <a:solidFill>
                <a:srgbClr val="414C5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E46-4926-AAA6-179CFF1A8E91}"/>
              </c:ext>
            </c:extLst>
          </c:dPt>
          <c:dPt>
            <c:idx val="1"/>
            <c:bubble3D val="0"/>
            <c:spPr>
              <a:solidFill>
                <a:srgbClr val="FF7C8C"/>
              </a:solidFill>
              <a:ln w="19050">
                <a:noFill/>
              </a:ln>
              <a:effectLst>
                <a:glow rad="63500">
                  <a:srgbClr val="FF7C8C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AE46-4926-AAA6-179CFF1A8E91}"/>
              </c:ext>
            </c:extLst>
          </c:dPt>
          <c:val>
            <c:numRef>
              <c:f>'All-report'!$F$7:$G$7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46-4926-AAA6-179CFF1A8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'All-report'!$E$10</c:f>
              <c:strCache>
                <c:ptCount val="1"/>
                <c:pt idx="0">
                  <c:v>Immunizations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414C5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42D-4E58-9A3E-996AF9FAB94E}"/>
              </c:ext>
            </c:extLst>
          </c:dPt>
          <c:dPt>
            <c:idx val="1"/>
            <c:bubble3D val="0"/>
            <c:spPr>
              <a:solidFill>
                <a:srgbClr val="FF7C8C"/>
              </a:solidFill>
              <a:ln w="19050">
                <a:noFill/>
              </a:ln>
              <a:effectLst>
                <a:glow rad="63500">
                  <a:srgbClr val="FF7C8C">
                    <a:alpha val="40000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F42D-4E58-9A3E-996AF9FAB94E}"/>
              </c:ext>
            </c:extLst>
          </c:dPt>
          <c:val>
            <c:numRef>
              <c:f>'All-report'!$F$10:$G$10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2D-4E58-9A3E-996AF9FAB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5629</xdr:colOff>
      <xdr:row>26</xdr:row>
      <xdr:rowOff>142874</xdr:rowOff>
    </xdr:from>
    <xdr:to>
      <xdr:col>4</xdr:col>
      <xdr:colOff>191060</xdr:colOff>
      <xdr:row>28</xdr:row>
      <xdr:rowOff>185724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A9A9DB8B-1495-4873-AB8F-CEA6D52BEED3}"/>
            </a:ext>
          </a:extLst>
        </xdr:cNvPr>
        <xdr:cNvGrpSpPr/>
      </xdr:nvGrpSpPr>
      <xdr:grpSpPr>
        <a:xfrm>
          <a:off x="615229" y="6334124"/>
          <a:ext cx="2014231" cy="519100"/>
          <a:chOff x="10149754" y="1962150"/>
          <a:chExt cx="2014227" cy="571051"/>
        </a:xfrm>
      </xdr:grpSpPr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6C13B99F-1C78-E3B1-E0C0-7F6902780FB1}"/>
              </a:ext>
            </a:extLst>
          </xdr:cNvPr>
          <xdr:cNvGrpSpPr/>
        </xdr:nvGrpSpPr>
        <xdr:grpSpPr>
          <a:xfrm>
            <a:off x="10149754" y="2169796"/>
            <a:ext cx="2014227" cy="363405"/>
            <a:chOff x="15011409" y="94019"/>
            <a:chExt cx="2016189" cy="363405"/>
          </a:xfrm>
        </xdr:grpSpPr>
        <xdr:sp macro="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55A4D42-7A4A-4343-97C8-5E8852FAA615}"/>
                </a:ext>
              </a:extLst>
            </xdr:cNvPr>
            <xdr:cNvSpPr/>
          </xdr:nvSpPr>
          <xdr:spPr>
            <a:xfrm>
              <a:off x="15097132" y="274544"/>
              <a:ext cx="183059" cy="182880"/>
            </a:xfrm>
            <a:prstGeom prst="rect">
              <a:avLst/>
            </a:prstGeom>
            <a:solidFill>
              <a:srgbClr val="022450"/>
            </a:solidFill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1DC13B02-6737-9CFB-483C-AC055792E355}"/>
                </a:ext>
              </a:extLst>
            </xdr:cNvPr>
            <xdr:cNvSpPr/>
          </xdr:nvSpPr>
          <xdr:spPr>
            <a:xfrm>
              <a:off x="15260748" y="274544"/>
              <a:ext cx="183059" cy="182880"/>
            </a:xfrm>
            <a:prstGeom prst="rect">
              <a:avLst/>
            </a:prstGeom>
            <a:solidFill>
              <a:srgbClr val="48CAE4"/>
            </a:solidFill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46" name="Rectangle 45">
              <a:extLst>
                <a:ext uri="{FF2B5EF4-FFF2-40B4-BE49-F238E27FC236}">
                  <a16:creationId xmlns:a16="http://schemas.microsoft.com/office/drawing/2014/main" id="{D2FF4699-7456-F9D7-1256-A79E08D0BA4F}"/>
                </a:ext>
              </a:extLst>
            </xdr:cNvPr>
            <xdr:cNvSpPr/>
          </xdr:nvSpPr>
          <xdr:spPr>
            <a:xfrm>
              <a:off x="15424365" y="274544"/>
              <a:ext cx="183059" cy="182880"/>
            </a:xfrm>
            <a:prstGeom prst="rect">
              <a:avLst/>
            </a:prstGeom>
            <a:solidFill>
              <a:srgbClr val="90E0EF"/>
            </a:solidFill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95E7B403-8939-A56D-90A2-E9458D543AF2}"/>
                </a:ext>
              </a:extLst>
            </xdr:cNvPr>
            <xdr:cNvSpPr/>
          </xdr:nvSpPr>
          <xdr:spPr>
            <a:xfrm>
              <a:off x="15587982" y="274544"/>
              <a:ext cx="183059" cy="182880"/>
            </a:xfrm>
            <a:prstGeom prst="rect">
              <a:avLst/>
            </a:prstGeom>
            <a:solidFill>
              <a:srgbClr val="ADE8F4"/>
            </a:solidFill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48" name="Rectangle 47">
              <a:extLst>
                <a:ext uri="{FF2B5EF4-FFF2-40B4-BE49-F238E27FC236}">
                  <a16:creationId xmlns:a16="http://schemas.microsoft.com/office/drawing/2014/main" id="{CB5659C9-F5A2-B5DE-CE51-324B0DD415CF}"/>
                </a:ext>
              </a:extLst>
            </xdr:cNvPr>
            <xdr:cNvSpPr/>
          </xdr:nvSpPr>
          <xdr:spPr>
            <a:xfrm>
              <a:off x="15751598" y="274544"/>
              <a:ext cx="183059" cy="182880"/>
            </a:xfrm>
            <a:prstGeom prst="rect">
              <a:avLst/>
            </a:prstGeom>
            <a:solidFill>
              <a:srgbClr val="CAF0F8"/>
            </a:solidFill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E25C7BB9-0C5C-CCE7-CA48-45C1E0F0C890}"/>
                </a:ext>
              </a:extLst>
            </xdr:cNvPr>
            <xdr:cNvSpPr/>
          </xdr:nvSpPr>
          <xdr:spPr>
            <a:xfrm>
              <a:off x="15915215" y="274544"/>
              <a:ext cx="183059" cy="182880"/>
            </a:xfrm>
            <a:prstGeom prst="rect">
              <a:avLst/>
            </a:prstGeom>
            <a:solidFill>
              <a:srgbClr val="FFFFFF"/>
            </a:solidFill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71FD063A-B81C-D81C-A5E7-C6EB42F0F17E}"/>
                </a:ext>
              </a:extLst>
            </xdr:cNvPr>
            <xdr:cNvSpPr/>
          </xdr:nvSpPr>
          <xdr:spPr>
            <a:xfrm>
              <a:off x="16078831" y="274544"/>
              <a:ext cx="183059" cy="182880"/>
            </a:xfrm>
            <a:prstGeom prst="rect">
              <a:avLst/>
            </a:prstGeom>
            <a:solidFill>
              <a:srgbClr val="EAAA34"/>
            </a:solidFill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1" name="Rectangle 50">
              <a:extLst>
                <a:ext uri="{FF2B5EF4-FFF2-40B4-BE49-F238E27FC236}">
                  <a16:creationId xmlns:a16="http://schemas.microsoft.com/office/drawing/2014/main" id="{77B7839D-864E-DBC9-F61C-FAF204B5BE31}"/>
                </a:ext>
              </a:extLst>
            </xdr:cNvPr>
            <xdr:cNvSpPr/>
          </xdr:nvSpPr>
          <xdr:spPr>
            <a:xfrm>
              <a:off x="16242448" y="274544"/>
              <a:ext cx="183059" cy="182880"/>
            </a:xfrm>
            <a:prstGeom prst="rect">
              <a:avLst/>
            </a:prstGeom>
            <a:solidFill>
              <a:srgbClr val="CB8B15"/>
            </a:solidFill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C7C1348A-C64A-FD93-560E-1D8E87AD44B9}"/>
                </a:ext>
              </a:extLst>
            </xdr:cNvPr>
            <xdr:cNvSpPr/>
          </xdr:nvSpPr>
          <xdr:spPr>
            <a:xfrm>
              <a:off x="16406065" y="274544"/>
              <a:ext cx="183059" cy="182880"/>
            </a:xfrm>
            <a:prstGeom prst="rect">
              <a:avLst/>
            </a:prstGeom>
            <a:solidFill>
              <a:srgbClr val="990B52"/>
            </a:solidFill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E2092D5-9769-8A84-BFBA-6A599D2824A5}"/>
                </a:ext>
              </a:extLst>
            </xdr:cNvPr>
            <xdr:cNvSpPr/>
          </xdr:nvSpPr>
          <xdr:spPr>
            <a:xfrm>
              <a:off x="16569685" y="274544"/>
              <a:ext cx="183059" cy="182880"/>
            </a:xfrm>
            <a:prstGeom prst="rect">
              <a:avLst/>
            </a:prstGeom>
            <a:solidFill>
              <a:srgbClr val="71093B"/>
            </a:solidFill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1B417BED-30B2-7074-D818-DBA3492A0E7D}"/>
                </a:ext>
              </a:extLst>
            </xdr:cNvPr>
            <xdr:cNvSpPr txBox="1"/>
          </xdr:nvSpPr>
          <xdr:spPr>
            <a:xfrm>
              <a:off x="15011409" y="94019"/>
              <a:ext cx="366117" cy="1904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US" sz="1000">
                  <a:solidFill>
                    <a:schemeClr val="bg1"/>
                  </a:solidFill>
                </a:rPr>
                <a:t>0%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11E211EE-6FB6-69DE-3D44-66DABFE76932}"/>
                </a:ext>
              </a:extLst>
            </xdr:cNvPr>
            <xdr:cNvSpPr txBox="1"/>
          </xdr:nvSpPr>
          <xdr:spPr>
            <a:xfrm>
              <a:off x="16478422" y="94019"/>
              <a:ext cx="549176" cy="1619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US" sz="1000">
                  <a:solidFill>
                    <a:schemeClr val="bg1"/>
                  </a:solidFill>
                </a:rPr>
                <a:t>100%</a:t>
              </a:r>
            </a:p>
          </xdr:txBody>
        </xdr: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9D1D5C1-C766-E972-3450-EC432C94083F}"/>
                </a:ext>
              </a:extLst>
            </xdr:cNvPr>
            <xdr:cNvSpPr txBox="1"/>
          </xdr:nvSpPr>
          <xdr:spPr>
            <a:xfrm>
              <a:off x="15740156" y="94019"/>
              <a:ext cx="419099" cy="1619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US" sz="1000">
                  <a:solidFill>
                    <a:schemeClr val="bg1"/>
                  </a:solidFill>
                </a:rPr>
                <a:t>50%</a:t>
              </a:r>
            </a:p>
          </xdr:txBody>
        </xdr:sp>
      </xdr:grp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9F0B90C6-7EA8-4EE8-858C-C86CAF202118}"/>
              </a:ext>
            </a:extLst>
          </xdr:cNvPr>
          <xdr:cNvSpPr txBox="1"/>
        </xdr:nvSpPr>
        <xdr:spPr>
          <a:xfrm>
            <a:off x="10337679" y="1962150"/>
            <a:ext cx="1476375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Percentage</a:t>
            </a:r>
            <a:r>
              <a:rPr lang="en-US" sz="1100" b="1" baseline="0">
                <a:solidFill>
                  <a:schemeClr val="bg1"/>
                </a:solidFill>
              </a:rPr>
              <a:t> of Errors</a:t>
            </a:r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19050</xdr:rowOff>
    </xdr:from>
    <xdr:to>
      <xdr:col>5</xdr:col>
      <xdr:colOff>78765</xdr:colOff>
      <xdr:row>5</xdr:row>
      <xdr:rowOff>102111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A4B57188-A79C-AF76-2C7A-7A7910387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3126765" cy="1273686"/>
        </a:xfrm>
        <a:prstGeom prst="rect">
          <a:avLst/>
        </a:prstGeom>
      </xdr:spPr>
    </xdr:pic>
    <xdr:clientData/>
  </xdr:twoCellAnchor>
  <xdr:twoCellAnchor editAs="absolute">
    <xdr:from>
      <xdr:col>6</xdr:col>
      <xdr:colOff>33332</xdr:colOff>
      <xdr:row>11</xdr:row>
      <xdr:rowOff>173390</xdr:rowOff>
    </xdr:from>
    <xdr:to>
      <xdr:col>19</xdr:col>
      <xdr:colOff>198120</xdr:colOff>
      <xdr:row>17</xdr:row>
      <xdr:rowOff>24800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F22141CC-24E6-6A45-7E25-440741D753E9}"/>
            </a:ext>
          </a:extLst>
        </xdr:cNvPr>
        <xdr:cNvGrpSpPr/>
      </xdr:nvGrpSpPr>
      <xdr:grpSpPr>
        <a:xfrm>
          <a:off x="3319457" y="2792765"/>
          <a:ext cx="3260413" cy="1280160"/>
          <a:chOff x="3414707" y="2792765"/>
          <a:chExt cx="3260413" cy="1280160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27627DC8-9E6B-4351-A358-3059F4CBE564}"/>
              </a:ext>
            </a:extLst>
          </xdr:cNvPr>
          <xdr:cNvGrpSpPr/>
        </xdr:nvGrpSpPr>
        <xdr:grpSpPr>
          <a:xfrm>
            <a:off x="3414707" y="2901332"/>
            <a:ext cx="1371600" cy="1097280"/>
            <a:chOff x="8888015" y="3376819"/>
            <a:chExt cx="1107286" cy="1646426"/>
          </a:xfrm>
        </xdr:grpSpPr>
        <xdr:graphicFrame macro="">
          <xdr:nvGraphicFramePr>
            <xdr:cNvPr id="36" name="Chart 35">
              <a:extLst>
                <a:ext uri="{FF2B5EF4-FFF2-40B4-BE49-F238E27FC236}">
                  <a16:creationId xmlns:a16="http://schemas.microsoft.com/office/drawing/2014/main" id="{EE093B9A-08E5-7A2D-D648-BB8D2C6E4F1B}"/>
                </a:ext>
              </a:extLst>
            </xdr:cNvPr>
            <xdr:cNvGraphicFramePr>
              <a:graphicFrameLocks/>
            </xdr:cNvGraphicFramePr>
          </xdr:nvGraphicFramePr>
          <xdr:xfrm>
            <a:off x="8888015" y="3376819"/>
            <a:ext cx="1107286" cy="164642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'All-report'!G9">
          <xdr:nvSpPr>
            <xdr:cNvPr id="37" name="TextBox 36">
              <a:extLst>
                <a:ext uri="{FF2B5EF4-FFF2-40B4-BE49-F238E27FC236}">
                  <a16:creationId xmlns:a16="http://schemas.microsoft.com/office/drawing/2014/main" id="{EAB09958-C963-5910-1E1C-7338DF2D38BB}"/>
                </a:ext>
              </a:extLst>
            </xdr:cNvPr>
            <xdr:cNvSpPr txBox="1"/>
          </xdr:nvSpPr>
          <xdr:spPr>
            <a:xfrm>
              <a:off x="9072563" y="4052394"/>
              <a:ext cx="738191" cy="2744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53528426-72EC-4763-8355-C0F52AAFA086}" type="TxLink">
                <a:rPr lang="en-US" sz="1200" b="0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rPr>
                <a:pPr marL="0" indent="0" algn="ctr"/>
                <a:t>0%</a:t>
              </a:fld>
              <a:endParaRPr lang="en-US" sz="12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endParaRPr>
            </a:p>
          </xdr:txBody>
        </xdr:sp>
      </xdr:grpSp>
      <xdr:sp macro="" textlink="'All-report'!L18">
        <xdr:nvSpPr>
          <xdr:cNvPr id="3" name="TextBox 2">
            <a:extLst>
              <a:ext uri="{FF2B5EF4-FFF2-40B4-BE49-F238E27FC236}">
                <a16:creationId xmlns:a16="http://schemas.microsoft.com/office/drawing/2014/main" id="{A90E55F5-7A6B-4DE6-9C3D-DB88C84E9AF2}"/>
              </a:ext>
            </a:extLst>
          </xdr:cNvPr>
          <xdr:cNvSpPr txBox="1"/>
        </xdr:nvSpPr>
        <xdr:spPr>
          <a:xfrm>
            <a:off x="4572000" y="2792765"/>
            <a:ext cx="2103120" cy="12801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930AB148-B9EC-45BB-806E-CCD8410F62DD}" type="TxLink">
              <a:rPr lang="en-US" sz="11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 algn="l"/>
              <a:t>Students Top Errors
• 
• 
• </a:t>
            </a:fld>
            <a:endParaRPr lang="en-US" sz="11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sp macro="" textlink="">
        <xdr:nvSpPr>
          <xdr:cNvPr id="111" name="Oval 110">
            <a:extLst>
              <a:ext uri="{FF2B5EF4-FFF2-40B4-BE49-F238E27FC236}">
                <a16:creationId xmlns:a16="http://schemas.microsoft.com/office/drawing/2014/main" id="{7FFC7DAC-373D-6DD5-83CA-FB919213240F}"/>
              </a:ext>
            </a:extLst>
          </xdr:cNvPr>
          <xdr:cNvSpPr/>
        </xdr:nvSpPr>
        <xdr:spPr>
          <a:xfrm>
            <a:off x="3597587" y="2947052"/>
            <a:ext cx="1005840" cy="1005840"/>
          </a:xfrm>
          <a:prstGeom prst="ellipse">
            <a:avLst/>
          </a:prstGeom>
          <a:noFill/>
          <a:ln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prstDash val="sysDot"/>
          </a:ln>
          <a:effectLst>
            <a:glow rad="63500">
              <a:schemeClr val="accent4">
                <a:satMod val="175000"/>
                <a:alpha val="40000"/>
              </a:schemeClr>
            </a:glo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18</xdr:col>
      <xdr:colOff>67540</xdr:colOff>
      <xdr:row>11</xdr:row>
      <xdr:rowOff>173390</xdr:rowOff>
    </xdr:from>
    <xdr:to>
      <xdr:col>31</xdr:col>
      <xdr:colOff>188593</xdr:colOff>
      <xdr:row>17</xdr:row>
      <xdr:rowOff>24800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94484BF7-6E2D-7EC7-C2BF-F7E90F21F872}"/>
            </a:ext>
          </a:extLst>
        </xdr:cNvPr>
        <xdr:cNvGrpSpPr/>
      </xdr:nvGrpSpPr>
      <xdr:grpSpPr>
        <a:xfrm>
          <a:off x="6211165" y="2792765"/>
          <a:ext cx="3216678" cy="1280160"/>
          <a:chOff x="6306415" y="2792765"/>
          <a:chExt cx="3216678" cy="1280160"/>
        </a:xfrm>
      </xdr:grpSpPr>
      <xdr:grpSp>
        <xdr:nvGrpSpPr>
          <xdr:cNvPr id="7" name="Contacts-Donut">
            <a:extLst>
              <a:ext uri="{FF2B5EF4-FFF2-40B4-BE49-F238E27FC236}">
                <a16:creationId xmlns:a16="http://schemas.microsoft.com/office/drawing/2014/main" id="{04A14ED8-9FB6-270A-66D9-DF1D708A4BA8}"/>
              </a:ext>
            </a:extLst>
          </xdr:cNvPr>
          <xdr:cNvGrpSpPr/>
        </xdr:nvGrpSpPr>
        <xdr:grpSpPr>
          <a:xfrm>
            <a:off x="6306415" y="2884205"/>
            <a:ext cx="1371600" cy="1097280"/>
            <a:chOff x="11668125" y="2625090"/>
            <a:chExt cx="1828800" cy="1645920"/>
          </a:xfrm>
        </xdr:grpSpPr>
        <xdr:graphicFrame macro="">
          <xdr:nvGraphicFramePr>
            <xdr:cNvPr id="33" name="Chart 32">
              <a:extLst>
                <a:ext uri="{FF2B5EF4-FFF2-40B4-BE49-F238E27FC236}">
                  <a16:creationId xmlns:a16="http://schemas.microsoft.com/office/drawing/2014/main" id="{2FC62714-6267-CA4D-9656-82FA9F0FEDB1}"/>
                </a:ext>
              </a:extLst>
            </xdr:cNvPr>
            <xdr:cNvGraphicFramePr>
              <a:graphicFrameLocks/>
            </xdr:cNvGraphicFramePr>
          </xdr:nvGraphicFramePr>
          <xdr:xfrm>
            <a:off x="11668125" y="2625090"/>
            <a:ext cx="1828800" cy="164592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'All-report'!G5">
          <xdr:nvSpPr>
            <xdr:cNvPr id="34" name="TextBox 33">
              <a:extLst>
                <a:ext uri="{FF2B5EF4-FFF2-40B4-BE49-F238E27FC236}">
                  <a16:creationId xmlns:a16="http://schemas.microsoft.com/office/drawing/2014/main" id="{BB8B0DCF-E7A6-5094-6DDD-D7398C0EB015}"/>
                </a:ext>
              </a:extLst>
            </xdr:cNvPr>
            <xdr:cNvSpPr txBox="1"/>
          </xdr:nvSpPr>
          <xdr:spPr>
            <a:xfrm>
              <a:off x="11972925" y="3300413"/>
              <a:ext cx="1219200" cy="2743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02553D00-99D4-40EB-87A5-791B815E2A62}" type="TxLink">
                <a:rPr lang="en-US" sz="1200" b="0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rPr>
                <a:pPr marL="0" indent="0" algn="ctr"/>
                <a:t>0%</a:t>
              </a:fld>
              <a:endParaRPr lang="en-US" sz="12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endParaRPr>
            </a:p>
          </xdr:txBody>
        </xdr:sp>
      </xdr:grpSp>
      <xdr:sp macro="" textlink="'All-report'!L19">
        <xdr:nvSpPr>
          <xdr:cNvPr id="4" name="TextBox 3">
            <a:extLst>
              <a:ext uri="{FF2B5EF4-FFF2-40B4-BE49-F238E27FC236}">
                <a16:creationId xmlns:a16="http://schemas.microsoft.com/office/drawing/2014/main" id="{7FB9F61F-C5D4-430C-A4C3-91D186C9D79E}"/>
              </a:ext>
            </a:extLst>
          </xdr:cNvPr>
          <xdr:cNvSpPr txBox="1"/>
        </xdr:nvSpPr>
        <xdr:spPr>
          <a:xfrm>
            <a:off x="7419973" y="2792765"/>
            <a:ext cx="2103120" cy="12801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F7DC0AC0-87B8-4D47-B77D-6B35F6D84EA3}" type="TxLink">
              <a:rPr lang="en-US" sz="11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 algn="l"/>
              <a:t>Contacts Top Errors
• 
• 
• </a:t>
            </a:fld>
            <a:endParaRPr lang="en-US" sz="11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sp macro="" textlink="">
        <xdr:nvSpPr>
          <xdr:cNvPr id="112" name="Oval 111">
            <a:extLst>
              <a:ext uri="{FF2B5EF4-FFF2-40B4-BE49-F238E27FC236}">
                <a16:creationId xmlns:a16="http://schemas.microsoft.com/office/drawing/2014/main" id="{0EC482CD-A4A7-4E7A-A600-7ED7792BD36E}"/>
              </a:ext>
            </a:extLst>
          </xdr:cNvPr>
          <xdr:cNvSpPr/>
        </xdr:nvSpPr>
        <xdr:spPr>
          <a:xfrm>
            <a:off x="6483662" y="2929925"/>
            <a:ext cx="1005840" cy="1005840"/>
          </a:xfrm>
          <a:prstGeom prst="ellipse">
            <a:avLst/>
          </a:prstGeom>
          <a:noFill/>
          <a:ln>
            <a:gradFill flip="none" rotWithShape="1">
              <a:gsLst>
                <a:gs pos="0">
                  <a:schemeClr val="accent1">
                    <a:lumMod val="5000"/>
                    <a:lumOff val="95000"/>
                  </a:schemeClr>
                </a:gs>
                <a:gs pos="39000">
                  <a:schemeClr val="accent1">
                    <a:lumMod val="30000"/>
                    <a:lumOff val="70000"/>
                  </a:schemeClr>
                </a:gs>
              </a:gsLst>
              <a:lin ang="0" scaled="1"/>
              <a:tileRect/>
            </a:gradFill>
            <a:prstDash val="sysDot"/>
          </a:ln>
          <a:effectLst>
            <a:glow rad="63500">
              <a:schemeClr val="accent3">
                <a:satMod val="175000"/>
                <a:alpha val="40000"/>
              </a:schemeClr>
            </a:glo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30</xdr:col>
      <xdr:colOff>138546</xdr:colOff>
      <xdr:row>11</xdr:row>
      <xdr:rowOff>173390</xdr:rowOff>
    </xdr:from>
    <xdr:to>
      <xdr:col>44</xdr:col>
      <xdr:colOff>26668</xdr:colOff>
      <xdr:row>17</xdr:row>
      <xdr:rowOff>24800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8CD746E1-E1D7-BC4D-B492-42A74A52BBA6}"/>
            </a:ext>
          </a:extLst>
        </xdr:cNvPr>
        <xdr:cNvGrpSpPr/>
      </xdr:nvGrpSpPr>
      <xdr:grpSpPr>
        <a:xfrm>
          <a:off x="9139671" y="2792765"/>
          <a:ext cx="3221872" cy="1280160"/>
          <a:chOff x="9234921" y="2792765"/>
          <a:chExt cx="3221872" cy="1280160"/>
        </a:xfrm>
      </xdr:grpSpPr>
      <xdr:grpSp>
        <xdr:nvGrpSpPr>
          <xdr:cNvPr id="5" name="School-Donut">
            <a:extLst>
              <a:ext uri="{FF2B5EF4-FFF2-40B4-BE49-F238E27FC236}">
                <a16:creationId xmlns:a16="http://schemas.microsoft.com/office/drawing/2014/main" id="{EC7E671A-6D92-445F-3026-33ED5783B807}"/>
              </a:ext>
            </a:extLst>
          </xdr:cNvPr>
          <xdr:cNvGrpSpPr/>
        </xdr:nvGrpSpPr>
        <xdr:grpSpPr>
          <a:xfrm>
            <a:off x="9234921" y="2884205"/>
            <a:ext cx="1371600" cy="1097280"/>
            <a:chOff x="12115800" y="3953827"/>
            <a:chExt cx="1828800" cy="1645920"/>
          </a:xfrm>
        </xdr:grpSpPr>
        <xdr:graphicFrame macro="">
          <xdr:nvGraphicFramePr>
            <xdr:cNvPr id="39" name="Chart 38">
              <a:extLst>
                <a:ext uri="{FF2B5EF4-FFF2-40B4-BE49-F238E27FC236}">
                  <a16:creationId xmlns:a16="http://schemas.microsoft.com/office/drawing/2014/main" id="{CF4F4413-BEA3-D382-ABEC-504AE6EDF55F}"/>
                </a:ext>
              </a:extLst>
            </xdr:cNvPr>
            <xdr:cNvGraphicFramePr>
              <a:graphicFrameLocks/>
            </xdr:cNvGraphicFramePr>
          </xdr:nvGraphicFramePr>
          <xdr:xfrm>
            <a:off x="12115800" y="3953827"/>
            <a:ext cx="1828800" cy="164592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sp macro="" textlink="'All-report'!G8">
          <xdr:nvSpPr>
            <xdr:cNvPr id="40" name="TextBox 39">
              <a:extLst>
                <a:ext uri="{FF2B5EF4-FFF2-40B4-BE49-F238E27FC236}">
                  <a16:creationId xmlns:a16="http://schemas.microsoft.com/office/drawing/2014/main" id="{181F8F2B-B3FE-45B3-2807-E4B71375EE65}"/>
                </a:ext>
              </a:extLst>
            </xdr:cNvPr>
            <xdr:cNvSpPr txBox="1"/>
          </xdr:nvSpPr>
          <xdr:spPr>
            <a:xfrm>
              <a:off x="12420600" y="4629150"/>
              <a:ext cx="1219200" cy="2743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5D3659B-D319-415C-B60C-E75362531DB6}" type="TxLink">
                <a:rPr lang="en-US" sz="1200" b="0" i="0" u="none" strike="noStrike">
                  <a:solidFill>
                    <a:schemeClr val="bg1"/>
                  </a:solidFill>
                  <a:latin typeface="Aptos Narrow"/>
                </a:rPr>
                <a:pPr algn="ctr"/>
                <a:t>0%</a:t>
              </a:fld>
              <a:endParaRPr lang="en-US" sz="1200">
                <a:solidFill>
                  <a:schemeClr val="bg1"/>
                </a:solidFill>
              </a:endParaRPr>
            </a:p>
          </xdr:txBody>
        </xdr:sp>
      </xdr:grpSp>
      <xdr:sp macro="" textlink="'All-report'!L20">
        <xdr:nvSpPr>
          <xdr:cNvPr id="57" name="TextBox 56">
            <a:extLst>
              <a:ext uri="{FF2B5EF4-FFF2-40B4-BE49-F238E27FC236}">
                <a16:creationId xmlns:a16="http://schemas.microsoft.com/office/drawing/2014/main" id="{EE78CAA3-5279-4A9C-A5AB-7E74399A0A15}"/>
              </a:ext>
            </a:extLst>
          </xdr:cNvPr>
          <xdr:cNvSpPr txBox="1"/>
        </xdr:nvSpPr>
        <xdr:spPr>
          <a:xfrm>
            <a:off x="10353673" y="2792765"/>
            <a:ext cx="2103120" cy="12801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E19955FE-1EA8-4CC9-A2BE-40AFCD612F5D}" type="TxLink">
              <a:rPr lang="en-US" sz="11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 algn="l"/>
              <a:t>Schools Top Errors
• 
• 
• </a:t>
            </a:fld>
            <a:endParaRPr lang="en-US" sz="11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sp macro="" textlink="">
        <xdr:nvSpPr>
          <xdr:cNvPr id="113" name="Oval 112">
            <a:extLst>
              <a:ext uri="{FF2B5EF4-FFF2-40B4-BE49-F238E27FC236}">
                <a16:creationId xmlns:a16="http://schemas.microsoft.com/office/drawing/2014/main" id="{C238AC31-8E09-4132-A70D-59FCAC89C47A}"/>
              </a:ext>
            </a:extLst>
          </xdr:cNvPr>
          <xdr:cNvSpPr/>
        </xdr:nvSpPr>
        <xdr:spPr>
          <a:xfrm>
            <a:off x="9417362" y="2929925"/>
            <a:ext cx="1005840" cy="1005840"/>
          </a:xfrm>
          <a:prstGeom prst="ellipse">
            <a:avLst/>
          </a:prstGeom>
          <a:noFill/>
          <a:ln>
            <a:gradFill flip="none" rotWithShape="1">
              <a:gsLst>
                <a:gs pos="0">
                  <a:schemeClr val="accent1">
                    <a:lumMod val="5000"/>
                    <a:lumOff val="95000"/>
                  </a:schemeClr>
                </a:gs>
                <a:gs pos="39000">
                  <a:schemeClr val="accent1">
                    <a:lumMod val="30000"/>
                    <a:lumOff val="70000"/>
                  </a:schemeClr>
                </a:gs>
              </a:gsLst>
              <a:lin ang="0" scaled="1"/>
              <a:tileRect/>
            </a:gradFill>
            <a:prstDash val="sysDot"/>
          </a:ln>
          <a:effectLst>
            <a:glow rad="63500">
              <a:schemeClr val="accent5">
                <a:satMod val="175000"/>
                <a:alpha val="40000"/>
              </a:schemeClr>
            </a:glo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22</xdr:col>
      <xdr:colOff>180688</xdr:colOff>
      <xdr:row>27</xdr:row>
      <xdr:rowOff>195920</xdr:rowOff>
    </xdr:from>
    <xdr:to>
      <xdr:col>36</xdr:col>
      <xdr:colOff>74295</xdr:colOff>
      <xdr:row>33</xdr:row>
      <xdr:rowOff>47330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5AA59C89-F89A-DEB6-3E2E-93CF48C4C087}"/>
            </a:ext>
          </a:extLst>
        </xdr:cNvPr>
        <xdr:cNvGrpSpPr/>
      </xdr:nvGrpSpPr>
      <xdr:grpSpPr>
        <a:xfrm>
          <a:off x="7276813" y="6625295"/>
          <a:ext cx="3227357" cy="1184910"/>
          <a:chOff x="7276813" y="6625295"/>
          <a:chExt cx="3227357" cy="1184910"/>
        </a:xfrm>
      </xdr:grpSpPr>
      <xdr:sp macro="" textlink="'All-report'!L22">
        <xdr:nvSpPr>
          <xdr:cNvPr id="60" name="TextBox 59">
            <a:extLst>
              <a:ext uri="{FF2B5EF4-FFF2-40B4-BE49-F238E27FC236}">
                <a16:creationId xmlns:a16="http://schemas.microsoft.com/office/drawing/2014/main" id="{6DFCF9FC-0A63-4084-8063-D32E51B74064}"/>
              </a:ext>
            </a:extLst>
          </xdr:cNvPr>
          <xdr:cNvSpPr txBox="1"/>
        </xdr:nvSpPr>
        <xdr:spPr>
          <a:xfrm>
            <a:off x="8401050" y="6625295"/>
            <a:ext cx="2103120" cy="1184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72CA7E87-A5DF-45A8-979A-5FC0013869EC}" type="TxLink">
              <a:rPr lang="en-US" sz="11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 algn="l"/>
              <a:t>Class Teacher Top Errors
• 
• 
• </a:t>
            </a:fld>
            <a:endParaRPr lang="en-US" sz="11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grpSp>
        <xdr:nvGrpSpPr>
          <xdr:cNvPr id="65" name="Group 64">
            <a:extLst>
              <a:ext uri="{FF2B5EF4-FFF2-40B4-BE49-F238E27FC236}">
                <a16:creationId xmlns:a16="http://schemas.microsoft.com/office/drawing/2014/main" id="{4D0FC36D-6558-FCC4-FA18-8E6379DF95CF}"/>
              </a:ext>
            </a:extLst>
          </xdr:cNvPr>
          <xdr:cNvGrpSpPr/>
        </xdr:nvGrpSpPr>
        <xdr:grpSpPr>
          <a:xfrm>
            <a:off x="7276813" y="6669110"/>
            <a:ext cx="1371600" cy="1097280"/>
            <a:chOff x="7276813" y="6672520"/>
            <a:chExt cx="1371600" cy="1097280"/>
          </a:xfrm>
        </xdr:grpSpPr>
        <xdr:grpSp>
          <xdr:nvGrpSpPr>
            <xdr:cNvPr id="11" name="Class-teach-donut">
              <a:extLst>
                <a:ext uri="{FF2B5EF4-FFF2-40B4-BE49-F238E27FC236}">
                  <a16:creationId xmlns:a16="http://schemas.microsoft.com/office/drawing/2014/main" id="{5C3EB9A8-BF8E-66C2-9A3C-FD6543104E7E}"/>
                </a:ext>
              </a:extLst>
            </xdr:cNvPr>
            <xdr:cNvGrpSpPr/>
          </xdr:nvGrpSpPr>
          <xdr:grpSpPr>
            <a:xfrm>
              <a:off x="7276813" y="6672520"/>
              <a:ext cx="1371600" cy="1097280"/>
              <a:chOff x="9272587" y="1834720"/>
              <a:chExt cx="1828800" cy="1795549"/>
            </a:xfrm>
          </xdr:grpSpPr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3797A894-40D5-C05F-E667-7C7157BAAFD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272587" y="1834720"/>
              <a:ext cx="1828800" cy="179554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'All-report'!G4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E77BF230-7659-306B-1872-B1FD4C1B23A3}"/>
                  </a:ext>
                </a:extLst>
              </xdr:cNvPr>
              <xdr:cNvSpPr txBox="1"/>
            </xdr:nvSpPr>
            <xdr:spPr>
              <a:xfrm>
                <a:off x="9839324" y="2584857"/>
                <a:ext cx="695325" cy="2952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911B089E-0E35-4758-B4B5-8B0D9048BA52}" type="TxLink">
                  <a:rPr lang="en-US" sz="1200" b="0" i="0" u="none" strike="noStrike">
                    <a:solidFill>
                      <a:schemeClr val="bg1"/>
                    </a:solidFill>
                    <a:latin typeface="Aptos Narrow"/>
                    <a:ea typeface="+mn-ea"/>
                    <a:cs typeface="+mn-cs"/>
                  </a:rPr>
                  <a:pPr marL="0" indent="0" algn="ctr"/>
                  <a:t>0%</a:t>
                </a:fld>
                <a:endParaRPr lang="en-US" sz="1200" b="0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114" name="Oval 113">
              <a:extLst>
                <a:ext uri="{FF2B5EF4-FFF2-40B4-BE49-F238E27FC236}">
                  <a16:creationId xmlns:a16="http://schemas.microsoft.com/office/drawing/2014/main" id="{1FBF4DBC-A7BB-47F2-AF52-68C512669A3F}"/>
                </a:ext>
              </a:extLst>
            </xdr:cNvPr>
            <xdr:cNvSpPr/>
          </xdr:nvSpPr>
          <xdr:spPr>
            <a:xfrm>
              <a:off x="7459693" y="6718240"/>
              <a:ext cx="1005840" cy="1005840"/>
            </a:xfrm>
            <a:prstGeom prst="ellipse">
              <a:avLst/>
            </a:prstGeom>
            <a:noFill/>
            <a:ln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39000">
                    <a:schemeClr val="accent1">
                      <a:lumMod val="30000"/>
                      <a:lumOff val="70000"/>
                    </a:schemeClr>
                  </a:gs>
                </a:gsLst>
                <a:lin ang="0" scaled="1"/>
                <a:tileRect/>
              </a:gradFill>
              <a:prstDash val="sysDot"/>
            </a:ln>
            <a:effectLst>
              <a:glow rad="63500">
                <a:schemeClr val="accent5">
                  <a:satMod val="175000"/>
                  <a:alpha val="40000"/>
                </a:schemeClr>
              </a:glo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 editAs="absolute">
    <xdr:from>
      <xdr:col>10</xdr:col>
      <xdr:colOff>59752</xdr:colOff>
      <xdr:row>27</xdr:row>
      <xdr:rowOff>195920</xdr:rowOff>
    </xdr:from>
    <xdr:to>
      <xdr:col>24</xdr:col>
      <xdr:colOff>13248</xdr:colOff>
      <xdr:row>33</xdr:row>
      <xdr:rowOff>47331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49A8D32B-A949-2CC4-7585-7DF640420D35}"/>
            </a:ext>
          </a:extLst>
        </xdr:cNvPr>
        <xdr:cNvGrpSpPr/>
      </xdr:nvGrpSpPr>
      <xdr:grpSpPr>
        <a:xfrm>
          <a:off x="4298377" y="6625295"/>
          <a:ext cx="3287246" cy="1184911"/>
          <a:chOff x="4298377" y="6625300"/>
          <a:chExt cx="3287246" cy="1184911"/>
        </a:xfrm>
      </xdr:grpSpPr>
      <xdr:sp macro="" textlink="'All-report'!L21">
        <xdr:nvSpPr>
          <xdr:cNvPr id="58" name="TextBox 57">
            <a:extLst>
              <a:ext uri="{FF2B5EF4-FFF2-40B4-BE49-F238E27FC236}">
                <a16:creationId xmlns:a16="http://schemas.microsoft.com/office/drawing/2014/main" id="{120DB444-A3DA-4994-AC88-81AADA603462}"/>
              </a:ext>
            </a:extLst>
          </xdr:cNvPr>
          <xdr:cNvSpPr txBox="1"/>
        </xdr:nvSpPr>
        <xdr:spPr>
          <a:xfrm>
            <a:off x="5482503" y="6625300"/>
            <a:ext cx="2103120" cy="11849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B758634B-2944-45FC-A9DD-C84ED2FBE6FE}" type="TxLink">
              <a:rPr lang="en-US" sz="11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 algn="l"/>
              <a:t>Class Top Errors
• 
• 
• </a:t>
            </a:fld>
            <a:endParaRPr lang="en-US" sz="11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1D711385-1072-972D-683F-62CF96974476}"/>
              </a:ext>
            </a:extLst>
          </xdr:cNvPr>
          <xdr:cNvGrpSpPr/>
        </xdr:nvGrpSpPr>
        <xdr:grpSpPr>
          <a:xfrm>
            <a:off x="4298377" y="6669116"/>
            <a:ext cx="1371600" cy="1097279"/>
            <a:chOff x="4298377" y="6681543"/>
            <a:chExt cx="1371600" cy="1097279"/>
          </a:xfrm>
        </xdr:grpSpPr>
        <xdr:grpSp>
          <xdr:nvGrpSpPr>
            <xdr:cNvPr id="9" name="Class-Donut">
              <a:extLst>
                <a:ext uri="{FF2B5EF4-FFF2-40B4-BE49-F238E27FC236}">
                  <a16:creationId xmlns:a16="http://schemas.microsoft.com/office/drawing/2014/main" id="{9EF8D6BD-6419-0EB6-AB3F-03FC16024456}"/>
                </a:ext>
              </a:extLst>
            </xdr:cNvPr>
            <xdr:cNvGrpSpPr/>
          </xdr:nvGrpSpPr>
          <xdr:grpSpPr>
            <a:xfrm>
              <a:off x="4298377" y="6681543"/>
              <a:ext cx="1371600" cy="1097279"/>
              <a:chOff x="7153275" y="2695896"/>
              <a:chExt cx="1561630" cy="1799135"/>
            </a:xfrm>
          </xdr:grpSpPr>
          <xdr:graphicFrame macro="">
            <xdr:nvGraphicFramePr>
              <xdr:cNvPr id="27" name="Chart 26">
                <a:extLst>
                  <a:ext uri="{FF2B5EF4-FFF2-40B4-BE49-F238E27FC236}">
                    <a16:creationId xmlns:a16="http://schemas.microsoft.com/office/drawing/2014/main" id="{42A40C35-FB86-1A98-8223-0B9C2DD57B1C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153275" y="2695896"/>
              <a:ext cx="1561630" cy="179913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  <xdr:sp macro="" textlink="'All-report'!G2">
            <xdr:nvSpPr>
              <xdr:cNvPr id="28" name="TextBox 27">
                <a:extLst>
                  <a:ext uri="{FF2B5EF4-FFF2-40B4-BE49-F238E27FC236}">
                    <a16:creationId xmlns:a16="http://schemas.microsoft.com/office/drawing/2014/main" id="{7E8658BD-766E-1293-8E7A-9389C1F12871}"/>
                  </a:ext>
                </a:extLst>
              </xdr:cNvPr>
              <xdr:cNvSpPr txBox="1"/>
            </xdr:nvSpPr>
            <xdr:spPr>
              <a:xfrm>
                <a:off x="7586428" y="3448658"/>
                <a:ext cx="695325" cy="2952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03A5BEBF-9B00-4C15-80BC-96885E9A8C6D}" type="TxLink">
                  <a:rPr lang="en-US" sz="1200" b="0" i="0" u="none" strike="noStrike">
                    <a:solidFill>
                      <a:schemeClr val="bg1"/>
                    </a:solidFill>
                    <a:latin typeface="Aptos Narrow"/>
                    <a:ea typeface="+mn-ea"/>
                    <a:cs typeface="+mn-cs"/>
                  </a:rPr>
                  <a:pPr marL="0" indent="0" algn="ctr"/>
                  <a:t>0%</a:t>
                </a:fld>
                <a:endParaRPr lang="en-US" sz="1200" b="0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115" name="Oval 114">
              <a:extLst>
                <a:ext uri="{FF2B5EF4-FFF2-40B4-BE49-F238E27FC236}">
                  <a16:creationId xmlns:a16="http://schemas.microsoft.com/office/drawing/2014/main" id="{9E5F6E05-80B9-40F3-945B-AC71CE0F2F0A}"/>
                </a:ext>
              </a:extLst>
            </xdr:cNvPr>
            <xdr:cNvSpPr/>
          </xdr:nvSpPr>
          <xdr:spPr>
            <a:xfrm>
              <a:off x="4481257" y="6727263"/>
              <a:ext cx="1005840" cy="1005839"/>
            </a:xfrm>
            <a:prstGeom prst="ellipse">
              <a:avLst/>
            </a:prstGeom>
            <a:noFill/>
            <a:ln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39000">
                    <a:schemeClr val="accent1">
                      <a:lumMod val="30000"/>
                      <a:lumOff val="70000"/>
                    </a:schemeClr>
                  </a:gs>
                </a:gsLst>
                <a:lin ang="0" scaled="1"/>
                <a:tileRect/>
              </a:gradFill>
              <a:prstDash val="sysDot"/>
            </a:ln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 editAs="absolute">
    <xdr:from>
      <xdr:col>42</xdr:col>
      <xdr:colOff>34636</xdr:colOff>
      <xdr:row>11</xdr:row>
      <xdr:rowOff>173390</xdr:rowOff>
    </xdr:from>
    <xdr:to>
      <xdr:col>55</xdr:col>
      <xdr:colOff>169545</xdr:colOff>
      <xdr:row>17</xdr:row>
      <xdr:rowOff>24800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5860AB59-9248-778C-E0E9-B12E08BB220F}"/>
            </a:ext>
          </a:extLst>
        </xdr:cNvPr>
        <xdr:cNvGrpSpPr/>
      </xdr:nvGrpSpPr>
      <xdr:grpSpPr>
        <a:xfrm>
          <a:off x="11893261" y="2792765"/>
          <a:ext cx="3230534" cy="1280160"/>
          <a:chOff x="11988511" y="2792765"/>
          <a:chExt cx="3230534" cy="1280160"/>
        </a:xfrm>
      </xdr:grpSpPr>
      <xdr:grpSp>
        <xdr:nvGrpSpPr>
          <xdr:cNvPr id="8" name="Faculty-Donut">
            <a:extLst>
              <a:ext uri="{FF2B5EF4-FFF2-40B4-BE49-F238E27FC236}">
                <a16:creationId xmlns:a16="http://schemas.microsoft.com/office/drawing/2014/main" id="{790798EA-EF41-8EA7-E98B-5A72BC7C91A3}"/>
              </a:ext>
            </a:extLst>
          </xdr:cNvPr>
          <xdr:cNvGrpSpPr/>
        </xdr:nvGrpSpPr>
        <xdr:grpSpPr>
          <a:xfrm>
            <a:off x="11988511" y="2884205"/>
            <a:ext cx="1371600" cy="1097280"/>
            <a:chOff x="6772275" y="4415790"/>
            <a:chExt cx="1828800" cy="1645920"/>
          </a:xfrm>
        </xdr:grpSpPr>
        <xdr:graphicFrame macro="">
          <xdr:nvGraphicFramePr>
            <xdr:cNvPr id="30" name="Chart 29">
              <a:extLst>
                <a:ext uri="{FF2B5EF4-FFF2-40B4-BE49-F238E27FC236}">
                  <a16:creationId xmlns:a16="http://schemas.microsoft.com/office/drawing/2014/main" id="{820A47BF-BB41-116B-A6B3-857695CA2CAA}"/>
                </a:ext>
              </a:extLst>
            </xdr:cNvPr>
            <xdr:cNvGraphicFramePr>
              <a:graphicFrameLocks/>
            </xdr:cNvGraphicFramePr>
          </xdr:nvGraphicFramePr>
          <xdr:xfrm>
            <a:off x="6772275" y="4415790"/>
            <a:ext cx="1828800" cy="164592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'All-report'!G6">
          <xdr:nvSpPr>
            <xdr:cNvPr id="31" name="TextBox 30">
              <a:extLst>
                <a:ext uri="{FF2B5EF4-FFF2-40B4-BE49-F238E27FC236}">
                  <a16:creationId xmlns:a16="http://schemas.microsoft.com/office/drawing/2014/main" id="{00C1CAC6-3D59-F78C-FB3C-18E08F7F9016}"/>
                </a:ext>
              </a:extLst>
            </xdr:cNvPr>
            <xdr:cNvSpPr txBox="1"/>
          </xdr:nvSpPr>
          <xdr:spPr>
            <a:xfrm>
              <a:off x="7077075" y="5091113"/>
              <a:ext cx="1219200" cy="2743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F1241864-B5F0-41E2-B573-F313B0AD3243}" type="TxLink">
                <a:rPr lang="en-US" sz="1400" b="0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rPr>
                <a:pPr marL="0" indent="0" algn="ctr"/>
                <a:t>0%</a:t>
              </a:fld>
              <a:endParaRPr lang="en-US" sz="14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endParaRPr>
            </a:p>
          </xdr:txBody>
        </xdr:sp>
      </xdr:grpSp>
      <xdr:sp macro="" textlink="'All-report'!L24">
        <xdr:nvSpPr>
          <xdr:cNvPr id="69" name="TextBox 68">
            <a:extLst>
              <a:ext uri="{FF2B5EF4-FFF2-40B4-BE49-F238E27FC236}">
                <a16:creationId xmlns:a16="http://schemas.microsoft.com/office/drawing/2014/main" id="{19DE0173-C401-4337-8B07-E004E79A284F}"/>
              </a:ext>
            </a:extLst>
          </xdr:cNvPr>
          <xdr:cNvSpPr txBox="1"/>
        </xdr:nvSpPr>
        <xdr:spPr>
          <a:xfrm>
            <a:off x="13115925" y="2792765"/>
            <a:ext cx="2103120" cy="12801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C647FA15-FF74-46E1-9C20-EAA2BEA8CFAD}" type="TxLink">
              <a:rPr lang="en-US" sz="11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 algn="l"/>
              <a:t>Faculty Top Errors
• 
• 
• </a:t>
            </a:fld>
            <a:endParaRPr lang="en-US" sz="11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sp macro="" textlink="">
        <xdr:nvSpPr>
          <xdr:cNvPr id="122" name="Oval 121">
            <a:extLst>
              <a:ext uri="{FF2B5EF4-FFF2-40B4-BE49-F238E27FC236}">
                <a16:creationId xmlns:a16="http://schemas.microsoft.com/office/drawing/2014/main" id="{9A3FF48F-C6AB-46CC-A3E8-111D551C74A9}"/>
              </a:ext>
            </a:extLst>
          </xdr:cNvPr>
          <xdr:cNvSpPr/>
        </xdr:nvSpPr>
        <xdr:spPr>
          <a:xfrm>
            <a:off x="12179612" y="2929925"/>
            <a:ext cx="1005840" cy="1005840"/>
          </a:xfrm>
          <a:prstGeom prst="ellipse">
            <a:avLst/>
          </a:prstGeom>
          <a:noFill/>
          <a:ln>
            <a:gradFill flip="none" rotWithShape="1">
              <a:gsLst>
                <a:gs pos="0">
                  <a:schemeClr val="accent1">
                    <a:lumMod val="5000"/>
                    <a:lumOff val="95000"/>
                  </a:schemeClr>
                </a:gs>
                <a:gs pos="39000">
                  <a:schemeClr val="accent1">
                    <a:lumMod val="30000"/>
                    <a:lumOff val="70000"/>
                  </a:schemeClr>
                </a:gs>
              </a:gsLst>
              <a:lin ang="0" scaled="1"/>
              <a:tileRect/>
            </a:gradFill>
            <a:prstDash val="sysDot"/>
          </a:ln>
          <a:effectLst>
            <a:glow rad="63500">
              <a:srgbClr val="46327A">
                <a:alpha val="40000"/>
              </a:srgbClr>
            </a:glo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35</xdr:col>
      <xdr:colOff>111131</xdr:colOff>
      <xdr:row>27</xdr:row>
      <xdr:rowOff>195920</xdr:rowOff>
    </xdr:from>
    <xdr:to>
      <xdr:col>49</xdr:col>
      <xdr:colOff>55245</xdr:colOff>
      <xdr:row>33</xdr:row>
      <xdr:rowOff>47330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66AC41A7-FA3D-37B2-DF1F-4240F1BFBBE0}"/>
            </a:ext>
          </a:extLst>
        </xdr:cNvPr>
        <xdr:cNvGrpSpPr/>
      </xdr:nvGrpSpPr>
      <xdr:grpSpPr>
        <a:xfrm>
          <a:off x="10302881" y="6625295"/>
          <a:ext cx="3277864" cy="1184910"/>
          <a:chOff x="10302881" y="6625295"/>
          <a:chExt cx="3277864" cy="1184910"/>
        </a:xfrm>
      </xdr:grpSpPr>
      <xdr:sp macro="" textlink="'All-report'!L23">
        <xdr:nvSpPr>
          <xdr:cNvPr id="62" name="TextBox 61">
            <a:extLst>
              <a:ext uri="{FF2B5EF4-FFF2-40B4-BE49-F238E27FC236}">
                <a16:creationId xmlns:a16="http://schemas.microsoft.com/office/drawing/2014/main" id="{B28166CF-ED49-4670-9DA8-1E702F8A70C1}"/>
              </a:ext>
            </a:extLst>
          </xdr:cNvPr>
          <xdr:cNvSpPr txBox="1"/>
        </xdr:nvSpPr>
        <xdr:spPr>
          <a:xfrm>
            <a:off x="11477625" y="6625295"/>
            <a:ext cx="2103120" cy="1184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3CDBD81F-5555-4940-AC3D-FA7762A0097C}" type="TxLink">
              <a:rPr lang="en-US" sz="11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 algn="l"/>
              <a:t>Class Roster Top Errors
• 
• 
• </a:t>
            </a:fld>
            <a:endParaRPr lang="en-US" sz="11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D2E54F8-1E9F-ED63-1043-6B176BA3650C}"/>
              </a:ext>
            </a:extLst>
          </xdr:cNvPr>
          <xdr:cNvGrpSpPr/>
        </xdr:nvGrpSpPr>
        <xdr:grpSpPr>
          <a:xfrm>
            <a:off x="10302881" y="6669110"/>
            <a:ext cx="1371600" cy="1097280"/>
            <a:chOff x="10302881" y="6669110"/>
            <a:chExt cx="1371600" cy="1097280"/>
          </a:xfrm>
        </xdr:grpSpPr>
        <xdr:grpSp>
          <xdr:nvGrpSpPr>
            <xdr:cNvPr id="10" name="class-roster-donut">
              <a:extLst>
                <a:ext uri="{FF2B5EF4-FFF2-40B4-BE49-F238E27FC236}">
                  <a16:creationId xmlns:a16="http://schemas.microsoft.com/office/drawing/2014/main" id="{AEAC084D-5FA5-EDEE-1515-17ABD422EC23}"/>
                </a:ext>
              </a:extLst>
            </xdr:cNvPr>
            <xdr:cNvGrpSpPr/>
          </xdr:nvGrpSpPr>
          <xdr:grpSpPr>
            <a:xfrm>
              <a:off x="10302881" y="6669110"/>
              <a:ext cx="1371600" cy="1097280"/>
              <a:chOff x="9326562" y="5739969"/>
              <a:chExt cx="1561630" cy="1799139"/>
            </a:xfrm>
          </xdr:grpSpPr>
          <xdr:graphicFrame macro="">
            <xdr:nvGraphicFramePr>
              <xdr:cNvPr id="24" name="Chart 23">
                <a:extLst>
                  <a:ext uri="{FF2B5EF4-FFF2-40B4-BE49-F238E27FC236}">
                    <a16:creationId xmlns:a16="http://schemas.microsoft.com/office/drawing/2014/main" id="{A2321592-E40E-3A62-FD88-C7951B64B353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326562" y="5739969"/>
              <a:ext cx="1561630" cy="179913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8"/>
              </a:graphicData>
            </a:graphic>
          </xdr:graphicFrame>
          <xdr:sp macro="" textlink="'All-report'!G3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4D6DC23E-C6A3-01D5-3EC4-C02830A45E7E}"/>
                  </a:ext>
                </a:extLst>
              </xdr:cNvPr>
              <xdr:cNvSpPr txBox="1"/>
            </xdr:nvSpPr>
            <xdr:spPr>
              <a:xfrm>
                <a:off x="9759715" y="6491901"/>
                <a:ext cx="695325" cy="2952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6C3DB8DB-9CF7-4E4D-8427-B7A2CBC188DE}" type="TxLink">
                  <a:rPr lang="en-US" sz="1200" b="0" i="0" u="none" strike="noStrike">
                    <a:solidFill>
                      <a:schemeClr val="bg1"/>
                    </a:solidFill>
                    <a:latin typeface="Aptos Narrow"/>
                    <a:ea typeface="+mn-ea"/>
                    <a:cs typeface="+mn-cs"/>
                  </a:rPr>
                  <a:pPr marL="0" indent="0" algn="ctr"/>
                  <a:t>0%</a:t>
                </a:fld>
                <a:endParaRPr lang="en-US" sz="1200" b="0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123" name="Oval 122">
              <a:extLst>
                <a:ext uri="{FF2B5EF4-FFF2-40B4-BE49-F238E27FC236}">
                  <a16:creationId xmlns:a16="http://schemas.microsoft.com/office/drawing/2014/main" id="{E9DA7658-6EC5-4881-AAF0-B4F836E920EB}"/>
                </a:ext>
              </a:extLst>
            </xdr:cNvPr>
            <xdr:cNvSpPr/>
          </xdr:nvSpPr>
          <xdr:spPr>
            <a:xfrm>
              <a:off x="10485761" y="6714830"/>
              <a:ext cx="1005840" cy="1005840"/>
            </a:xfrm>
            <a:prstGeom prst="ellipse">
              <a:avLst/>
            </a:prstGeom>
            <a:noFill/>
            <a:ln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39000">
                    <a:schemeClr val="accent1">
                      <a:lumMod val="30000"/>
                      <a:lumOff val="70000"/>
                    </a:schemeClr>
                  </a:gs>
                </a:gsLst>
                <a:lin ang="0" scaled="1"/>
                <a:tileRect/>
              </a:gradFill>
              <a:prstDash val="sysDot"/>
            </a:ln>
            <a:effectLst>
              <a:glow rad="63500">
                <a:srgbClr val="46327A">
                  <a:alpha val="40000"/>
                </a:srgbClr>
              </a:glo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 editAs="absolute">
    <xdr:from>
      <xdr:col>54</xdr:col>
      <xdr:colOff>103045</xdr:colOff>
      <xdr:row>11</xdr:row>
      <xdr:rowOff>173390</xdr:rowOff>
    </xdr:from>
    <xdr:to>
      <xdr:col>67</xdr:col>
      <xdr:colOff>236220</xdr:colOff>
      <xdr:row>17</xdr:row>
      <xdr:rowOff>24800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A3E07481-DDA0-BDE2-24D3-B86425F64220}"/>
            </a:ext>
          </a:extLst>
        </xdr:cNvPr>
        <xdr:cNvGrpSpPr/>
      </xdr:nvGrpSpPr>
      <xdr:grpSpPr>
        <a:xfrm>
          <a:off x="14819170" y="2792765"/>
          <a:ext cx="3228800" cy="1280160"/>
          <a:chOff x="14914420" y="2792765"/>
          <a:chExt cx="3228800" cy="1280160"/>
        </a:xfrm>
      </xdr:grpSpPr>
      <xdr:grpSp>
        <xdr:nvGrpSpPr>
          <xdr:cNvPr id="12" name="med-alerts-donut">
            <a:extLst>
              <a:ext uri="{FF2B5EF4-FFF2-40B4-BE49-F238E27FC236}">
                <a16:creationId xmlns:a16="http://schemas.microsoft.com/office/drawing/2014/main" id="{A23F8302-402E-383D-F6C8-D15089410001}"/>
              </a:ext>
            </a:extLst>
          </xdr:cNvPr>
          <xdr:cNvGrpSpPr/>
        </xdr:nvGrpSpPr>
        <xdr:grpSpPr>
          <a:xfrm>
            <a:off x="14914420" y="2884205"/>
            <a:ext cx="1371600" cy="1097280"/>
            <a:chOff x="14468475" y="4711066"/>
            <a:chExt cx="1828800" cy="1645920"/>
          </a:xfrm>
        </xdr:grpSpPr>
        <xdr:graphicFrame macro="">
          <xdr:nvGraphicFramePr>
            <xdr:cNvPr id="17" name="Chart 16">
              <a:extLst>
                <a:ext uri="{FF2B5EF4-FFF2-40B4-BE49-F238E27FC236}">
                  <a16:creationId xmlns:a16="http://schemas.microsoft.com/office/drawing/2014/main" id="{1A4C4860-9A56-7593-0431-100613B20D77}"/>
                </a:ext>
              </a:extLst>
            </xdr:cNvPr>
            <xdr:cNvGraphicFramePr>
              <a:graphicFrameLocks/>
            </xdr:cNvGraphicFramePr>
          </xdr:nvGraphicFramePr>
          <xdr:xfrm>
            <a:off x="14468475" y="4711066"/>
            <a:ext cx="1828800" cy="164592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'All-report'!G7">
          <xdr:nvSpPr>
            <xdr:cNvPr id="18" name="TextBox 17">
              <a:extLst>
                <a:ext uri="{FF2B5EF4-FFF2-40B4-BE49-F238E27FC236}">
                  <a16:creationId xmlns:a16="http://schemas.microsoft.com/office/drawing/2014/main" id="{CAA0A234-D356-864A-CB58-E94416D0F941}"/>
                </a:ext>
              </a:extLst>
            </xdr:cNvPr>
            <xdr:cNvSpPr txBox="1"/>
          </xdr:nvSpPr>
          <xdr:spPr>
            <a:xfrm>
              <a:off x="14773275" y="5386389"/>
              <a:ext cx="1219200" cy="2743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2A19F4A8-05E2-4D2D-B680-D607F44E9018}" type="TxLink">
                <a:rPr lang="en-US" sz="1200" b="0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rPr>
                <a:pPr marL="0" indent="0" algn="ctr"/>
                <a:t>0%</a:t>
              </a:fld>
              <a:endParaRPr lang="en-US" sz="16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endParaRPr>
            </a:p>
          </xdr:txBody>
        </xdr:sp>
      </xdr:grpSp>
      <xdr:sp macro="" textlink="'All-report'!L25">
        <xdr:nvSpPr>
          <xdr:cNvPr id="77" name="TextBox 76">
            <a:extLst>
              <a:ext uri="{FF2B5EF4-FFF2-40B4-BE49-F238E27FC236}">
                <a16:creationId xmlns:a16="http://schemas.microsoft.com/office/drawing/2014/main" id="{B526E791-F0DD-44F1-90B1-CE069255D5B0}"/>
              </a:ext>
            </a:extLst>
          </xdr:cNvPr>
          <xdr:cNvSpPr txBox="1"/>
        </xdr:nvSpPr>
        <xdr:spPr>
          <a:xfrm>
            <a:off x="16040100" y="2792765"/>
            <a:ext cx="2103120" cy="12801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39685296-EE0B-4D99-B970-837E3584F4CA}" type="TxLink">
              <a:rPr lang="en-US" sz="11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 algn="l"/>
              <a:t>Medical Alerts Top Errors
• 
• 
• </a:t>
            </a:fld>
            <a:endParaRPr lang="en-US" sz="11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sp macro="" textlink="">
        <xdr:nvSpPr>
          <xdr:cNvPr id="124" name="Oval 123">
            <a:extLst>
              <a:ext uri="{FF2B5EF4-FFF2-40B4-BE49-F238E27FC236}">
                <a16:creationId xmlns:a16="http://schemas.microsoft.com/office/drawing/2014/main" id="{3C8273E7-7DA5-46A9-89C1-D9A845FDE3D7}"/>
              </a:ext>
            </a:extLst>
          </xdr:cNvPr>
          <xdr:cNvSpPr/>
        </xdr:nvSpPr>
        <xdr:spPr>
          <a:xfrm>
            <a:off x="15103787" y="2929925"/>
            <a:ext cx="1005840" cy="1005840"/>
          </a:xfrm>
          <a:prstGeom prst="ellipse">
            <a:avLst/>
          </a:prstGeom>
          <a:noFill/>
          <a:ln>
            <a:gradFill flip="none" rotWithShape="1">
              <a:gsLst>
                <a:gs pos="0">
                  <a:schemeClr val="accent1">
                    <a:lumMod val="5000"/>
                    <a:lumOff val="95000"/>
                  </a:schemeClr>
                </a:gs>
                <a:gs pos="39000">
                  <a:schemeClr val="accent1">
                    <a:lumMod val="30000"/>
                    <a:lumOff val="70000"/>
                  </a:schemeClr>
                </a:gs>
              </a:gsLst>
              <a:lin ang="0" scaled="1"/>
              <a:tileRect/>
            </a:gradFill>
            <a:prstDash val="sysDot"/>
          </a:ln>
          <a:effectLst>
            <a:glow rad="63500">
              <a:srgbClr val="FF7C8C">
                <a:alpha val="40000"/>
              </a:srgbClr>
            </a:glo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47</xdr:col>
      <xdr:colOff>136823</xdr:colOff>
      <xdr:row>27</xdr:row>
      <xdr:rowOff>195920</xdr:rowOff>
    </xdr:from>
    <xdr:to>
      <xdr:col>61</xdr:col>
      <xdr:colOff>93345</xdr:colOff>
      <xdr:row>33</xdr:row>
      <xdr:rowOff>47330</xdr:rowOff>
    </xdr:to>
    <xdr:grpSp>
      <xdr:nvGrpSpPr>
        <xdr:cNvPr id="71" name="Group 70">
          <a:extLst>
            <a:ext uri="{FF2B5EF4-FFF2-40B4-BE49-F238E27FC236}">
              <a16:creationId xmlns:a16="http://schemas.microsoft.com/office/drawing/2014/main" id="{196C812A-C1E9-51D7-36E1-608B2C674495}"/>
            </a:ext>
          </a:extLst>
        </xdr:cNvPr>
        <xdr:cNvGrpSpPr/>
      </xdr:nvGrpSpPr>
      <xdr:grpSpPr>
        <a:xfrm>
          <a:off x="13186073" y="6625295"/>
          <a:ext cx="3290272" cy="1184910"/>
          <a:chOff x="13186073" y="6638179"/>
          <a:chExt cx="3290272" cy="1184910"/>
        </a:xfrm>
      </xdr:grpSpPr>
      <xdr:sp macro="" textlink="'All-report'!L26">
        <xdr:nvSpPr>
          <xdr:cNvPr id="78" name="TextBox 77">
            <a:extLst>
              <a:ext uri="{FF2B5EF4-FFF2-40B4-BE49-F238E27FC236}">
                <a16:creationId xmlns:a16="http://schemas.microsoft.com/office/drawing/2014/main" id="{21A72665-D48E-4D9F-B854-C8CE4BD0DE66}"/>
              </a:ext>
            </a:extLst>
          </xdr:cNvPr>
          <xdr:cNvSpPr txBox="1"/>
        </xdr:nvSpPr>
        <xdr:spPr>
          <a:xfrm>
            <a:off x="14373225" y="6638179"/>
            <a:ext cx="2103120" cy="1184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1C9125E6-FEE5-48AE-B6D0-1284B9BE661E}" type="TxLink">
              <a:rPr lang="en-US" sz="1100" b="0" i="0" u="none" strike="noStrike">
                <a:solidFill>
                  <a:schemeClr val="bg1"/>
                </a:solidFill>
                <a:latin typeface="Aptos Narrow"/>
                <a:ea typeface="+mn-ea"/>
                <a:cs typeface="+mn-cs"/>
              </a:rPr>
              <a:pPr marL="0" indent="0" algn="l"/>
              <a:t>Immunization Top Errors
• 
• 
• </a:t>
            </a:fld>
            <a:endParaRPr lang="en-US" sz="1100" b="0" i="0" u="none" strike="noStrike">
              <a:solidFill>
                <a:schemeClr val="bg1"/>
              </a:solidFill>
              <a:latin typeface="Aptos Narrow"/>
              <a:ea typeface="+mn-ea"/>
              <a:cs typeface="+mn-cs"/>
            </a:endParaRPr>
          </a:p>
        </xdr:txBody>
      </xdr:sp>
      <xdr:grpSp>
        <xdr:nvGrpSpPr>
          <xdr:cNvPr id="70" name="Group 69">
            <a:extLst>
              <a:ext uri="{FF2B5EF4-FFF2-40B4-BE49-F238E27FC236}">
                <a16:creationId xmlns:a16="http://schemas.microsoft.com/office/drawing/2014/main" id="{607BF56B-BF18-3F33-9D04-68796F7A51B8}"/>
              </a:ext>
            </a:extLst>
          </xdr:cNvPr>
          <xdr:cNvGrpSpPr/>
        </xdr:nvGrpSpPr>
        <xdr:grpSpPr>
          <a:xfrm>
            <a:off x="13186073" y="6681994"/>
            <a:ext cx="1371600" cy="1097280"/>
            <a:chOff x="13109873" y="6738693"/>
            <a:chExt cx="1371600" cy="1097280"/>
          </a:xfrm>
        </xdr:grpSpPr>
        <xdr:grpSp>
          <xdr:nvGrpSpPr>
            <xdr:cNvPr id="13" name="Immunization-donut">
              <a:extLst>
                <a:ext uri="{FF2B5EF4-FFF2-40B4-BE49-F238E27FC236}">
                  <a16:creationId xmlns:a16="http://schemas.microsoft.com/office/drawing/2014/main" id="{9351B4E5-880F-E625-40DA-7216A9F51CC3}"/>
                </a:ext>
              </a:extLst>
            </xdr:cNvPr>
            <xdr:cNvGrpSpPr/>
          </xdr:nvGrpSpPr>
          <xdr:grpSpPr>
            <a:xfrm>
              <a:off x="13109873" y="6738693"/>
              <a:ext cx="1371600" cy="1097280"/>
              <a:chOff x="11668125" y="2663393"/>
              <a:chExt cx="1561630" cy="1799139"/>
            </a:xfrm>
          </xdr:grpSpPr>
          <xdr:graphicFrame macro="">
            <xdr:nvGraphicFramePr>
              <xdr:cNvPr id="15" name="Chart 14">
                <a:extLst>
                  <a:ext uri="{FF2B5EF4-FFF2-40B4-BE49-F238E27FC236}">
                    <a16:creationId xmlns:a16="http://schemas.microsoft.com/office/drawing/2014/main" id="{F532252B-44E7-44FA-46AE-B4BF146864DA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668125" y="2663393"/>
              <a:ext cx="1561630" cy="179913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0"/>
              </a:graphicData>
            </a:graphic>
          </xdr:graphicFrame>
          <xdr:sp macro="" textlink="'All-report'!G10">
            <xdr:nvSpPr>
              <xdr:cNvPr id="16" name="TextBox 15">
                <a:extLst>
                  <a:ext uri="{FF2B5EF4-FFF2-40B4-BE49-F238E27FC236}">
                    <a16:creationId xmlns:a16="http://schemas.microsoft.com/office/drawing/2014/main" id="{4664BA0D-3744-F62E-4088-644A425A0629}"/>
                  </a:ext>
                </a:extLst>
              </xdr:cNvPr>
              <xdr:cNvSpPr txBox="1"/>
            </xdr:nvSpPr>
            <xdr:spPr>
              <a:xfrm>
                <a:off x="12101278" y="3415325"/>
                <a:ext cx="695325" cy="2952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3C8753F3-A8B7-43FD-ACD9-2DCBBE8B61DD}" type="TxLink">
                  <a:rPr lang="en-US" sz="1200" b="0" i="0" u="none" strike="noStrike">
                    <a:solidFill>
                      <a:schemeClr val="bg1"/>
                    </a:solidFill>
                    <a:latin typeface="Aptos Narrow"/>
                    <a:ea typeface="+mn-ea"/>
                    <a:cs typeface="+mn-cs"/>
                  </a:rPr>
                  <a:pPr marL="0" indent="0" algn="ctr"/>
                  <a:t>0%</a:t>
                </a:fld>
                <a:endParaRPr lang="en-US" sz="1600" b="0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125" name="Oval 124">
              <a:extLst>
                <a:ext uri="{FF2B5EF4-FFF2-40B4-BE49-F238E27FC236}">
                  <a16:creationId xmlns:a16="http://schemas.microsoft.com/office/drawing/2014/main" id="{DD7D0F7C-B408-4961-93E6-4D4CDB6AF8C5}"/>
                </a:ext>
              </a:extLst>
            </xdr:cNvPr>
            <xdr:cNvSpPr/>
          </xdr:nvSpPr>
          <xdr:spPr>
            <a:xfrm>
              <a:off x="13292753" y="6784413"/>
              <a:ext cx="1005840" cy="1005840"/>
            </a:xfrm>
            <a:prstGeom prst="ellipse">
              <a:avLst/>
            </a:prstGeom>
            <a:noFill/>
            <a:ln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39000">
                    <a:schemeClr val="accent1">
                      <a:lumMod val="30000"/>
                      <a:lumOff val="70000"/>
                    </a:schemeClr>
                  </a:gs>
                </a:gsLst>
                <a:lin ang="0" scaled="1"/>
                <a:tileRect/>
              </a:gradFill>
              <a:prstDash val="sysDot"/>
            </a:ln>
            <a:effectLst>
              <a:glow rad="63500">
                <a:srgbClr val="FF7C8C">
                  <a:alpha val="40000"/>
                </a:srgbClr>
              </a:glo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xdr:twoCellAnchor editAs="absolute">
    <xdr:from>
      <xdr:col>0</xdr:col>
      <xdr:colOff>552450</xdr:colOff>
      <xdr:row>4</xdr:row>
      <xdr:rowOff>200025</xdr:rowOff>
    </xdr:from>
    <xdr:to>
      <xdr:col>1</xdr:col>
      <xdr:colOff>607695</xdr:colOff>
      <xdr:row>5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BAFD064-76FE-88CD-6ED6-12606E0068CA}"/>
            </a:ext>
          </a:extLst>
        </xdr:cNvPr>
        <xdr:cNvSpPr txBox="1"/>
      </xdr:nvSpPr>
      <xdr:spPr>
        <a:xfrm>
          <a:off x="552450" y="1152525"/>
          <a:ext cx="731520" cy="180975"/>
        </a:xfrm>
        <a:prstGeom prst="rect">
          <a:avLst/>
        </a:prstGeom>
        <a:solidFill>
          <a:srgbClr val="3A266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>
              <a:solidFill>
                <a:schemeClr val="bg1"/>
              </a:solidFill>
            </a:rPr>
            <a:t>File</a:t>
          </a:r>
        </a:p>
      </xdr:txBody>
    </xdr:sp>
    <xdr:clientData/>
  </xdr:twoCellAnchor>
  <xdr:twoCellAnchor editAs="absolute">
    <xdr:from>
      <xdr:col>3</xdr:col>
      <xdr:colOff>190500</xdr:colOff>
      <xdr:row>4</xdr:row>
      <xdr:rowOff>200025</xdr:rowOff>
    </xdr:from>
    <xdr:to>
      <xdr:col>4</xdr:col>
      <xdr:colOff>350520</xdr:colOff>
      <xdr:row>5</xdr:row>
      <xdr:rowOff>142875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4AFF7909-CED4-442E-AD6D-0729CB74B831}"/>
            </a:ext>
          </a:extLst>
        </xdr:cNvPr>
        <xdr:cNvSpPr txBox="1"/>
      </xdr:nvSpPr>
      <xdr:spPr>
        <a:xfrm>
          <a:off x="2152650" y="1152525"/>
          <a:ext cx="731520" cy="180975"/>
        </a:xfrm>
        <a:prstGeom prst="rect">
          <a:avLst/>
        </a:prstGeom>
        <a:solidFill>
          <a:srgbClr val="3A266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>
              <a:solidFill>
                <a:schemeClr val="bg1"/>
              </a:solidFill>
            </a:rPr>
            <a:t>Errors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15</xdr:row>
      <xdr:rowOff>133350</xdr:rowOff>
    </xdr:from>
    <xdr:to>
      <xdr:col>18</xdr:col>
      <xdr:colOff>501015</xdr:colOff>
      <xdr:row>16</xdr:row>
      <xdr:rowOff>34290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9984353-AB32-AFFE-D22B-FA4C41225EA4}"/>
            </a:ext>
          </a:extLst>
        </xdr:cNvPr>
        <xdr:cNvSpPr/>
      </xdr:nvSpPr>
      <xdr:spPr>
        <a:xfrm>
          <a:off x="8972550" y="2990850"/>
          <a:ext cx="91440" cy="91440"/>
        </a:xfrm>
        <a:prstGeom prst="rect">
          <a:avLst/>
        </a:prstGeom>
        <a:solidFill>
          <a:srgbClr val="2F353F"/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561975</xdr:colOff>
      <xdr:row>15</xdr:row>
      <xdr:rowOff>133350</xdr:rowOff>
    </xdr:from>
    <xdr:to>
      <xdr:col>19</xdr:col>
      <xdr:colOff>43815</xdr:colOff>
      <xdr:row>16</xdr:row>
      <xdr:rowOff>34290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E807051B-9EB0-40A4-A9AD-9422EAEDF768}"/>
            </a:ext>
          </a:extLst>
        </xdr:cNvPr>
        <xdr:cNvSpPr/>
      </xdr:nvSpPr>
      <xdr:spPr>
        <a:xfrm>
          <a:off x="9124950" y="2990850"/>
          <a:ext cx="91440" cy="91440"/>
        </a:xfrm>
        <a:prstGeom prst="rect">
          <a:avLst/>
        </a:prstGeom>
        <a:solidFill>
          <a:srgbClr val="48CAE4"/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104775</xdr:colOff>
      <xdr:row>15</xdr:row>
      <xdr:rowOff>133350</xdr:rowOff>
    </xdr:from>
    <xdr:to>
      <xdr:col>19</xdr:col>
      <xdr:colOff>196215</xdr:colOff>
      <xdr:row>16</xdr:row>
      <xdr:rowOff>34290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A72F210-4078-44B7-8600-3CB9CD841C1B}"/>
            </a:ext>
          </a:extLst>
        </xdr:cNvPr>
        <xdr:cNvSpPr/>
      </xdr:nvSpPr>
      <xdr:spPr>
        <a:xfrm>
          <a:off x="9277350" y="2990850"/>
          <a:ext cx="91440" cy="91440"/>
        </a:xfrm>
        <a:prstGeom prst="rect">
          <a:avLst/>
        </a:prstGeom>
        <a:solidFill>
          <a:srgbClr val="90E0EF"/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257175</xdr:colOff>
      <xdr:row>15</xdr:row>
      <xdr:rowOff>133350</xdr:rowOff>
    </xdr:from>
    <xdr:to>
      <xdr:col>19</xdr:col>
      <xdr:colOff>348615</xdr:colOff>
      <xdr:row>16</xdr:row>
      <xdr:rowOff>34290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50FACDF-A68E-40CA-A7A0-358B4C4D67A1}"/>
            </a:ext>
          </a:extLst>
        </xdr:cNvPr>
        <xdr:cNvSpPr/>
      </xdr:nvSpPr>
      <xdr:spPr>
        <a:xfrm>
          <a:off x="9429750" y="2990850"/>
          <a:ext cx="91440" cy="91440"/>
        </a:xfrm>
        <a:prstGeom prst="rect">
          <a:avLst/>
        </a:prstGeom>
        <a:solidFill>
          <a:srgbClr val="ADE8F4"/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409575</xdr:colOff>
      <xdr:row>15</xdr:row>
      <xdr:rowOff>133350</xdr:rowOff>
    </xdr:from>
    <xdr:to>
      <xdr:col>19</xdr:col>
      <xdr:colOff>501015</xdr:colOff>
      <xdr:row>16</xdr:row>
      <xdr:rowOff>34290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AC2AC25D-D814-4D89-A4AB-622876892970}"/>
            </a:ext>
          </a:extLst>
        </xdr:cNvPr>
        <xdr:cNvSpPr/>
      </xdr:nvSpPr>
      <xdr:spPr>
        <a:xfrm>
          <a:off x="9582150" y="2990850"/>
          <a:ext cx="91440" cy="91440"/>
        </a:xfrm>
        <a:prstGeom prst="rect">
          <a:avLst/>
        </a:prstGeom>
        <a:solidFill>
          <a:srgbClr val="CAF0F8"/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561975</xdr:colOff>
      <xdr:row>15</xdr:row>
      <xdr:rowOff>133350</xdr:rowOff>
    </xdr:from>
    <xdr:to>
      <xdr:col>20</xdr:col>
      <xdr:colOff>43815</xdr:colOff>
      <xdr:row>16</xdr:row>
      <xdr:rowOff>34290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2C8B0571-3686-44E0-922D-EFC0CBDB097C}"/>
            </a:ext>
          </a:extLst>
        </xdr:cNvPr>
        <xdr:cNvSpPr/>
      </xdr:nvSpPr>
      <xdr:spPr>
        <a:xfrm>
          <a:off x="9734550" y="2990850"/>
          <a:ext cx="91440" cy="91440"/>
        </a:xfrm>
        <a:prstGeom prst="rect">
          <a:avLst/>
        </a:prstGeom>
        <a:solidFill>
          <a:srgbClr val="FFFFFF"/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104775</xdr:colOff>
      <xdr:row>15</xdr:row>
      <xdr:rowOff>133350</xdr:rowOff>
    </xdr:from>
    <xdr:to>
      <xdr:col>20</xdr:col>
      <xdr:colOff>196215</xdr:colOff>
      <xdr:row>16</xdr:row>
      <xdr:rowOff>34290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626F9E58-2B02-4F47-A2B3-81B69F7469BE}"/>
            </a:ext>
          </a:extLst>
        </xdr:cNvPr>
        <xdr:cNvSpPr/>
      </xdr:nvSpPr>
      <xdr:spPr>
        <a:xfrm>
          <a:off x="9886950" y="2990850"/>
          <a:ext cx="91440" cy="91440"/>
        </a:xfrm>
        <a:prstGeom prst="rect">
          <a:avLst/>
        </a:prstGeom>
        <a:solidFill>
          <a:srgbClr val="EAAA34"/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257175</xdr:colOff>
      <xdr:row>15</xdr:row>
      <xdr:rowOff>133350</xdr:rowOff>
    </xdr:from>
    <xdr:to>
      <xdr:col>20</xdr:col>
      <xdr:colOff>348615</xdr:colOff>
      <xdr:row>16</xdr:row>
      <xdr:rowOff>34290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3AE0D07A-E6DE-429A-8243-DE1DDD4C4C19}"/>
            </a:ext>
          </a:extLst>
        </xdr:cNvPr>
        <xdr:cNvSpPr/>
      </xdr:nvSpPr>
      <xdr:spPr>
        <a:xfrm>
          <a:off x="10039350" y="2990850"/>
          <a:ext cx="91440" cy="91440"/>
        </a:xfrm>
        <a:prstGeom prst="rect">
          <a:avLst/>
        </a:prstGeom>
        <a:solidFill>
          <a:srgbClr val="CB8B15"/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409575</xdr:colOff>
      <xdr:row>15</xdr:row>
      <xdr:rowOff>133350</xdr:rowOff>
    </xdr:from>
    <xdr:to>
      <xdr:col>20</xdr:col>
      <xdr:colOff>501015</xdr:colOff>
      <xdr:row>16</xdr:row>
      <xdr:rowOff>34290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EC3304FF-1136-4371-B8AB-24833D04FBA3}"/>
            </a:ext>
          </a:extLst>
        </xdr:cNvPr>
        <xdr:cNvSpPr/>
      </xdr:nvSpPr>
      <xdr:spPr>
        <a:xfrm>
          <a:off x="10191750" y="2990850"/>
          <a:ext cx="91440" cy="91440"/>
        </a:xfrm>
        <a:prstGeom prst="rect">
          <a:avLst/>
        </a:prstGeom>
        <a:solidFill>
          <a:srgbClr val="990B52"/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561975</xdr:colOff>
      <xdr:row>15</xdr:row>
      <xdr:rowOff>133350</xdr:rowOff>
    </xdr:from>
    <xdr:to>
      <xdr:col>21</xdr:col>
      <xdr:colOff>43815</xdr:colOff>
      <xdr:row>16</xdr:row>
      <xdr:rowOff>34290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1DB769A0-5096-4756-8481-C7129924C713}"/>
            </a:ext>
          </a:extLst>
        </xdr:cNvPr>
        <xdr:cNvSpPr/>
      </xdr:nvSpPr>
      <xdr:spPr>
        <a:xfrm>
          <a:off x="10344150" y="2990850"/>
          <a:ext cx="91440" cy="91440"/>
        </a:xfrm>
        <a:prstGeom prst="rect">
          <a:avLst/>
        </a:prstGeom>
        <a:solidFill>
          <a:srgbClr val="71093B"/>
        </a:solidFill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304800</xdr:colOff>
      <xdr:row>7</xdr:row>
      <xdr:rowOff>23812</xdr:rowOff>
    </xdr:from>
    <xdr:to>
      <xdr:col>16</xdr:col>
      <xdr:colOff>426720</xdr:colOff>
      <xdr:row>8</xdr:row>
      <xdr:rowOff>16192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0D6CFE9A-3220-B6B6-7227-295DA77640BB}"/>
            </a:ext>
          </a:extLst>
        </xdr:cNvPr>
        <xdr:cNvSpPr/>
      </xdr:nvSpPr>
      <xdr:spPr>
        <a:xfrm>
          <a:off x="26050875" y="1500187"/>
          <a:ext cx="731520" cy="182880"/>
        </a:xfrm>
        <a:prstGeom prst="round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136525</xdr:colOff>
      <xdr:row>7</xdr:row>
      <xdr:rowOff>23812</xdr:rowOff>
    </xdr:from>
    <xdr:to>
      <xdr:col>15</xdr:col>
      <xdr:colOff>258445</xdr:colOff>
      <xdr:row>8</xdr:row>
      <xdr:rowOff>16192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565525C4-5222-4CC2-A409-F12DBAE2308B}"/>
            </a:ext>
          </a:extLst>
        </xdr:cNvPr>
        <xdr:cNvSpPr/>
      </xdr:nvSpPr>
      <xdr:spPr>
        <a:xfrm>
          <a:off x="25273000" y="1500187"/>
          <a:ext cx="731520" cy="18288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577850</xdr:colOff>
      <xdr:row>7</xdr:row>
      <xdr:rowOff>23812</xdr:rowOff>
    </xdr:from>
    <xdr:to>
      <xdr:col>14</xdr:col>
      <xdr:colOff>90170</xdr:colOff>
      <xdr:row>8</xdr:row>
      <xdr:rowOff>16192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87237FA8-C9BB-4CA1-A7ED-7C7CB5F75A7D}"/>
            </a:ext>
          </a:extLst>
        </xdr:cNvPr>
        <xdr:cNvSpPr/>
      </xdr:nvSpPr>
      <xdr:spPr>
        <a:xfrm>
          <a:off x="24495125" y="1500187"/>
          <a:ext cx="731520" cy="18288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409575</xdr:colOff>
      <xdr:row>7</xdr:row>
      <xdr:rowOff>23812</xdr:rowOff>
    </xdr:from>
    <xdr:to>
      <xdr:col>12</xdr:col>
      <xdr:colOff>531495</xdr:colOff>
      <xdr:row>8</xdr:row>
      <xdr:rowOff>16192</xdr:rowOff>
    </xdr:to>
    <xdr:sp macro="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AB82F250-8134-4EA4-9753-2A19DF70317A}"/>
            </a:ext>
          </a:extLst>
        </xdr:cNvPr>
        <xdr:cNvSpPr/>
      </xdr:nvSpPr>
      <xdr:spPr>
        <a:xfrm>
          <a:off x="23717250" y="1500187"/>
          <a:ext cx="731520" cy="182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323850</xdr:colOff>
      <xdr:row>9</xdr:row>
      <xdr:rowOff>23812</xdr:rowOff>
    </xdr:from>
    <xdr:to>
      <xdr:col>16</xdr:col>
      <xdr:colOff>445770</xdr:colOff>
      <xdr:row>10</xdr:row>
      <xdr:rowOff>16192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8B4349AD-69AA-4D78-8F8A-BA05139EE0A3}"/>
            </a:ext>
          </a:extLst>
        </xdr:cNvPr>
        <xdr:cNvSpPr/>
      </xdr:nvSpPr>
      <xdr:spPr>
        <a:xfrm>
          <a:off x="26069925" y="1881187"/>
          <a:ext cx="731520" cy="182880"/>
        </a:xfrm>
        <a:prstGeom prst="roundRect">
          <a:avLst/>
        </a:prstGeom>
        <a:noFill/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155575</xdr:colOff>
      <xdr:row>9</xdr:row>
      <xdr:rowOff>23812</xdr:rowOff>
    </xdr:from>
    <xdr:to>
      <xdr:col>15</xdr:col>
      <xdr:colOff>277495</xdr:colOff>
      <xdr:row>10</xdr:row>
      <xdr:rowOff>16192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1FF815FA-DC6B-4803-ADAA-7C654845C3AC}"/>
            </a:ext>
          </a:extLst>
        </xdr:cNvPr>
        <xdr:cNvSpPr/>
      </xdr:nvSpPr>
      <xdr:spPr>
        <a:xfrm>
          <a:off x="25292050" y="1881187"/>
          <a:ext cx="731520" cy="18288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596900</xdr:colOff>
      <xdr:row>9</xdr:row>
      <xdr:rowOff>23812</xdr:rowOff>
    </xdr:from>
    <xdr:to>
      <xdr:col>14</xdr:col>
      <xdr:colOff>109220</xdr:colOff>
      <xdr:row>10</xdr:row>
      <xdr:rowOff>16192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12F80FC8-1B70-4828-A325-22A2ED4DC78E}"/>
            </a:ext>
          </a:extLst>
        </xdr:cNvPr>
        <xdr:cNvSpPr/>
      </xdr:nvSpPr>
      <xdr:spPr>
        <a:xfrm>
          <a:off x="24514175" y="1881187"/>
          <a:ext cx="731520" cy="18288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428625</xdr:colOff>
      <xdr:row>9</xdr:row>
      <xdr:rowOff>23812</xdr:rowOff>
    </xdr:from>
    <xdr:to>
      <xdr:col>12</xdr:col>
      <xdr:colOff>550545</xdr:colOff>
      <xdr:row>10</xdr:row>
      <xdr:rowOff>16192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3AD5F478-209E-461A-8A69-49FF7032BCEA}"/>
            </a:ext>
          </a:extLst>
        </xdr:cNvPr>
        <xdr:cNvSpPr/>
      </xdr:nvSpPr>
      <xdr:spPr>
        <a:xfrm>
          <a:off x="23736300" y="1881187"/>
          <a:ext cx="731520" cy="182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333375</xdr:colOff>
      <xdr:row>11</xdr:row>
      <xdr:rowOff>33337</xdr:rowOff>
    </xdr:from>
    <xdr:to>
      <xdr:col>16</xdr:col>
      <xdr:colOff>455295</xdr:colOff>
      <xdr:row>12</xdr:row>
      <xdr:rowOff>25717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58DA0D09-60AA-4901-8977-4BFC86E4A240}"/>
            </a:ext>
          </a:extLst>
        </xdr:cNvPr>
        <xdr:cNvSpPr/>
      </xdr:nvSpPr>
      <xdr:spPr>
        <a:xfrm>
          <a:off x="26079450" y="2271712"/>
          <a:ext cx="731520" cy="182880"/>
        </a:xfrm>
        <a:prstGeom prst="roundRect">
          <a:avLst/>
        </a:prstGeom>
        <a:noFill/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165100</xdr:colOff>
      <xdr:row>11</xdr:row>
      <xdr:rowOff>33337</xdr:rowOff>
    </xdr:from>
    <xdr:to>
      <xdr:col>15</xdr:col>
      <xdr:colOff>287020</xdr:colOff>
      <xdr:row>12</xdr:row>
      <xdr:rowOff>25717</xdr:rowOff>
    </xdr:to>
    <xdr:sp macro="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5246526D-8C0F-4A47-AAD7-813DD727D286}"/>
            </a:ext>
          </a:extLst>
        </xdr:cNvPr>
        <xdr:cNvSpPr/>
      </xdr:nvSpPr>
      <xdr:spPr>
        <a:xfrm>
          <a:off x="25301575" y="2271712"/>
          <a:ext cx="731520" cy="182880"/>
        </a:xfrm>
        <a:prstGeom prst="roundRect">
          <a:avLst/>
        </a:prstGeom>
        <a:noFill/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606425</xdr:colOff>
      <xdr:row>11</xdr:row>
      <xdr:rowOff>33337</xdr:rowOff>
    </xdr:from>
    <xdr:to>
      <xdr:col>14</xdr:col>
      <xdr:colOff>118745</xdr:colOff>
      <xdr:row>12</xdr:row>
      <xdr:rowOff>25717</xdr:rowOff>
    </xdr:to>
    <xdr:sp macro="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64AC5CD8-D00A-4FCA-B588-FD49187D85EA}"/>
            </a:ext>
          </a:extLst>
        </xdr:cNvPr>
        <xdr:cNvSpPr/>
      </xdr:nvSpPr>
      <xdr:spPr>
        <a:xfrm>
          <a:off x="24523700" y="2271712"/>
          <a:ext cx="731520" cy="18288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438150</xdr:colOff>
      <xdr:row>11</xdr:row>
      <xdr:rowOff>33337</xdr:rowOff>
    </xdr:from>
    <xdr:to>
      <xdr:col>12</xdr:col>
      <xdr:colOff>560070</xdr:colOff>
      <xdr:row>12</xdr:row>
      <xdr:rowOff>25717</xdr:rowOff>
    </xdr:to>
    <xdr:sp macro="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DC64F71F-C3B7-4B1C-9D99-14FD63199FEC}"/>
            </a:ext>
          </a:extLst>
        </xdr:cNvPr>
        <xdr:cNvSpPr/>
      </xdr:nvSpPr>
      <xdr:spPr>
        <a:xfrm>
          <a:off x="23745825" y="2271712"/>
          <a:ext cx="731520" cy="182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333375</xdr:colOff>
      <xdr:row>13</xdr:row>
      <xdr:rowOff>61912</xdr:rowOff>
    </xdr:from>
    <xdr:to>
      <xdr:col>16</xdr:col>
      <xdr:colOff>455295</xdr:colOff>
      <xdr:row>14</xdr:row>
      <xdr:rowOff>54292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508CAE29-DF25-4E44-B519-551BDA098D52}"/>
            </a:ext>
          </a:extLst>
        </xdr:cNvPr>
        <xdr:cNvSpPr/>
      </xdr:nvSpPr>
      <xdr:spPr>
        <a:xfrm>
          <a:off x="26079450" y="2681287"/>
          <a:ext cx="731520" cy="182880"/>
        </a:xfrm>
        <a:prstGeom prst="roundRect">
          <a:avLst/>
        </a:prstGeom>
        <a:noFill/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165100</xdr:colOff>
      <xdr:row>13</xdr:row>
      <xdr:rowOff>61912</xdr:rowOff>
    </xdr:from>
    <xdr:to>
      <xdr:col>15</xdr:col>
      <xdr:colOff>287020</xdr:colOff>
      <xdr:row>14</xdr:row>
      <xdr:rowOff>54292</xdr:rowOff>
    </xdr:to>
    <xdr:sp macro="" textlink="">
      <xdr:nvSpPr>
        <xdr:cNvPr id="58" name="Rectangle: Rounded Corners 57">
          <a:extLst>
            <a:ext uri="{FF2B5EF4-FFF2-40B4-BE49-F238E27FC236}">
              <a16:creationId xmlns:a16="http://schemas.microsoft.com/office/drawing/2014/main" id="{04F41241-6E07-4ACF-91C6-BA87A311744E}"/>
            </a:ext>
          </a:extLst>
        </xdr:cNvPr>
        <xdr:cNvSpPr/>
      </xdr:nvSpPr>
      <xdr:spPr>
        <a:xfrm>
          <a:off x="25301575" y="2681287"/>
          <a:ext cx="731520" cy="182880"/>
        </a:xfrm>
        <a:prstGeom prst="roundRect">
          <a:avLst/>
        </a:prstGeom>
        <a:noFill/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606425</xdr:colOff>
      <xdr:row>13</xdr:row>
      <xdr:rowOff>61912</xdr:rowOff>
    </xdr:from>
    <xdr:to>
      <xdr:col>14</xdr:col>
      <xdr:colOff>118745</xdr:colOff>
      <xdr:row>14</xdr:row>
      <xdr:rowOff>54292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0BFBB08A-049C-45CC-9B8B-4BFBD2789E42}"/>
            </a:ext>
          </a:extLst>
        </xdr:cNvPr>
        <xdr:cNvSpPr/>
      </xdr:nvSpPr>
      <xdr:spPr>
        <a:xfrm>
          <a:off x="24523700" y="2681287"/>
          <a:ext cx="731520" cy="182880"/>
        </a:xfrm>
        <a:prstGeom prst="roundRect">
          <a:avLst/>
        </a:prstGeom>
        <a:noFill/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438150</xdr:colOff>
      <xdr:row>13</xdr:row>
      <xdr:rowOff>61912</xdr:rowOff>
    </xdr:from>
    <xdr:to>
      <xdr:col>12</xdr:col>
      <xdr:colOff>560070</xdr:colOff>
      <xdr:row>14</xdr:row>
      <xdr:rowOff>54292</xdr:rowOff>
    </xdr:to>
    <xdr:sp macro="" textlink="">
      <xdr:nvSpPr>
        <xdr:cNvPr id="60" name="Rectangle: Rounded Corners 59">
          <a:extLst>
            <a:ext uri="{FF2B5EF4-FFF2-40B4-BE49-F238E27FC236}">
              <a16:creationId xmlns:a16="http://schemas.microsoft.com/office/drawing/2014/main" id="{D2CCCDCE-11B2-4C75-B216-5530B315A3E9}"/>
            </a:ext>
          </a:extLst>
        </xdr:cNvPr>
        <xdr:cNvSpPr/>
      </xdr:nvSpPr>
      <xdr:spPr>
        <a:xfrm>
          <a:off x="23745825" y="2681287"/>
          <a:ext cx="731520" cy="182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bg1"/>
          </a:solidFill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307182</xdr:colOff>
      <xdr:row>14</xdr:row>
      <xdr:rowOff>138112</xdr:rowOff>
    </xdr:from>
    <xdr:to>
      <xdr:col>16</xdr:col>
      <xdr:colOff>429102</xdr:colOff>
      <xdr:row>15</xdr:row>
      <xdr:rowOff>130492</xdr:rowOff>
    </xdr:to>
    <xdr:sp macro="" textlink="">
      <xdr:nvSpPr>
        <xdr:cNvPr id="61" name="Rectangle: Rounded Corners 60">
          <a:extLst>
            <a:ext uri="{FF2B5EF4-FFF2-40B4-BE49-F238E27FC236}">
              <a16:creationId xmlns:a16="http://schemas.microsoft.com/office/drawing/2014/main" id="{F48C914B-52C5-4A8E-950B-66AC6F6A84FD}"/>
            </a:ext>
          </a:extLst>
        </xdr:cNvPr>
        <xdr:cNvSpPr/>
      </xdr:nvSpPr>
      <xdr:spPr>
        <a:xfrm>
          <a:off x="24310182" y="2947987"/>
          <a:ext cx="731520" cy="18288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147638</xdr:colOff>
      <xdr:row>14</xdr:row>
      <xdr:rowOff>138112</xdr:rowOff>
    </xdr:from>
    <xdr:to>
      <xdr:col>15</xdr:col>
      <xdr:colOff>269558</xdr:colOff>
      <xdr:row>15</xdr:row>
      <xdr:rowOff>130492</xdr:rowOff>
    </xdr:to>
    <xdr:sp macro="" textlink="">
      <xdr:nvSpPr>
        <xdr:cNvPr id="62" name="Rectangle: Rounded Corners 61">
          <a:extLst>
            <a:ext uri="{FF2B5EF4-FFF2-40B4-BE49-F238E27FC236}">
              <a16:creationId xmlns:a16="http://schemas.microsoft.com/office/drawing/2014/main" id="{C456C280-8095-40E7-BD52-EA193D360D83}"/>
            </a:ext>
          </a:extLst>
        </xdr:cNvPr>
        <xdr:cNvSpPr/>
      </xdr:nvSpPr>
      <xdr:spPr>
        <a:xfrm>
          <a:off x="23541038" y="2947987"/>
          <a:ext cx="731520" cy="18288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597694</xdr:colOff>
      <xdr:row>14</xdr:row>
      <xdr:rowOff>138112</xdr:rowOff>
    </xdr:from>
    <xdr:to>
      <xdr:col>14</xdr:col>
      <xdr:colOff>110014</xdr:colOff>
      <xdr:row>15</xdr:row>
      <xdr:rowOff>130492</xdr:rowOff>
    </xdr:to>
    <xdr:sp macro="" textlink="">
      <xdr:nvSpPr>
        <xdr:cNvPr id="63" name="Rectangle: Rounded Corners 62">
          <a:extLst>
            <a:ext uri="{FF2B5EF4-FFF2-40B4-BE49-F238E27FC236}">
              <a16:creationId xmlns:a16="http://schemas.microsoft.com/office/drawing/2014/main" id="{DFF8C539-3E59-49B3-A832-AF061EF480B8}"/>
            </a:ext>
          </a:extLst>
        </xdr:cNvPr>
        <xdr:cNvSpPr/>
      </xdr:nvSpPr>
      <xdr:spPr>
        <a:xfrm>
          <a:off x="22771894" y="2947987"/>
          <a:ext cx="731520" cy="18288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438150</xdr:colOff>
      <xdr:row>14</xdr:row>
      <xdr:rowOff>138112</xdr:rowOff>
    </xdr:from>
    <xdr:to>
      <xdr:col>12</xdr:col>
      <xdr:colOff>560070</xdr:colOff>
      <xdr:row>15</xdr:row>
      <xdr:rowOff>130492</xdr:rowOff>
    </xdr:to>
    <xdr:sp macro="" textlink="">
      <xdr:nvSpPr>
        <xdr:cNvPr id="64" name="Rectangle: Rounded Corners 63">
          <a:extLst>
            <a:ext uri="{FF2B5EF4-FFF2-40B4-BE49-F238E27FC236}">
              <a16:creationId xmlns:a16="http://schemas.microsoft.com/office/drawing/2014/main" id="{CA0EAD49-CDBE-49C8-914E-1C19E992C3E2}"/>
            </a:ext>
          </a:extLst>
        </xdr:cNvPr>
        <xdr:cNvSpPr/>
      </xdr:nvSpPr>
      <xdr:spPr>
        <a:xfrm>
          <a:off x="22002750" y="2947987"/>
          <a:ext cx="731520" cy="18288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409575</xdr:colOff>
      <xdr:row>5</xdr:row>
      <xdr:rowOff>76199</xdr:rowOff>
    </xdr:from>
    <xdr:to>
      <xdr:col>17</xdr:col>
      <xdr:colOff>598170</xdr:colOff>
      <xdr:row>6</xdr:row>
      <xdr:rowOff>68579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4373ED0-6E0B-DDED-F1AA-420427F77FB5}"/>
            </a:ext>
          </a:extLst>
        </xdr:cNvPr>
        <xdr:cNvGrpSpPr/>
      </xdr:nvGrpSpPr>
      <xdr:grpSpPr>
        <a:xfrm>
          <a:off x="8172450" y="1028699"/>
          <a:ext cx="3846195" cy="182880"/>
          <a:chOff x="22031325" y="1171574"/>
          <a:chExt cx="3846195" cy="182880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7196BE15-870B-4882-ACAB-3E121415015B}"/>
              </a:ext>
            </a:extLst>
          </xdr:cNvPr>
          <xdr:cNvSpPr/>
        </xdr:nvSpPr>
        <xdr:spPr>
          <a:xfrm>
            <a:off x="24367332" y="1171574"/>
            <a:ext cx="731520" cy="18288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>
            <a:solidFill>
              <a:schemeClr val="bg1"/>
            </a:solidFill>
          </a:ln>
          <a:effectLst>
            <a:glow rad="63500">
              <a:schemeClr val="accent6">
                <a:satMod val="175000"/>
                <a:alpha val="40000"/>
              </a:schemeClr>
            </a:glo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Rectangle: Rounded Corners 65">
            <a:extLst>
              <a:ext uri="{FF2B5EF4-FFF2-40B4-BE49-F238E27FC236}">
                <a16:creationId xmlns:a16="http://schemas.microsoft.com/office/drawing/2014/main" id="{17B76481-67EE-4F7D-A612-9D14E1EBA285}"/>
              </a:ext>
            </a:extLst>
          </xdr:cNvPr>
          <xdr:cNvSpPr/>
        </xdr:nvSpPr>
        <xdr:spPr>
          <a:xfrm>
            <a:off x="23588663" y="1171574"/>
            <a:ext cx="731520" cy="18288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bg1"/>
            </a:solidFill>
          </a:ln>
          <a:effectLst>
            <a:glow rad="63500">
              <a:schemeClr val="accent6">
                <a:satMod val="175000"/>
                <a:alpha val="40000"/>
              </a:schemeClr>
            </a:glo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Rectangle: Rounded Corners 66">
            <a:extLst>
              <a:ext uri="{FF2B5EF4-FFF2-40B4-BE49-F238E27FC236}">
                <a16:creationId xmlns:a16="http://schemas.microsoft.com/office/drawing/2014/main" id="{0148EC62-CE86-4BED-8E23-14B49F9C0890}"/>
              </a:ext>
            </a:extLst>
          </xdr:cNvPr>
          <xdr:cNvSpPr/>
        </xdr:nvSpPr>
        <xdr:spPr>
          <a:xfrm>
            <a:off x="22809994" y="1171574"/>
            <a:ext cx="731520" cy="18288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>
            <a:glow rad="63500">
              <a:schemeClr val="accent6">
                <a:satMod val="175000"/>
                <a:alpha val="40000"/>
              </a:schemeClr>
            </a:glo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8" name="Rectangle: Rounded Corners 67">
            <a:extLst>
              <a:ext uri="{FF2B5EF4-FFF2-40B4-BE49-F238E27FC236}">
                <a16:creationId xmlns:a16="http://schemas.microsoft.com/office/drawing/2014/main" id="{5FD53080-CE33-4FB8-A6E5-EADBBE9F73D2}"/>
              </a:ext>
            </a:extLst>
          </xdr:cNvPr>
          <xdr:cNvSpPr/>
        </xdr:nvSpPr>
        <xdr:spPr>
          <a:xfrm>
            <a:off x="22031325" y="1171574"/>
            <a:ext cx="731520" cy="182880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glow rad="63500">
              <a:schemeClr val="accent6">
                <a:satMod val="175000"/>
                <a:alpha val="40000"/>
              </a:schemeClr>
            </a:glo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5A4B8AD2-4B65-4690-9F7E-B0D1103D5C98}"/>
              </a:ext>
            </a:extLst>
          </xdr:cNvPr>
          <xdr:cNvSpPr/>
        </xdr:nvSpPr>
        <xdr:spPr>
          <a:xfrm>
            <a:off x="25146000" y="1171574"/>
            <a:ext cx="731520" cy="182880"/>
          </a:xfrm>
          <a:prstGeom prst="roundRect">
            <a:avLst/>
          </a:prstGeom>
          <a:solidFill>
            <a:schemeClr val="accent6">
              <a:lumMod val="50000"/>
            </a:schemeClr>
          </a:solidFill>
          <a:ln>
            <a:solidFill>
              <a:schemeClr val="bg1"/>
            </a:solidFill>
          </a:ln>
          <a:effectLst>
            <a:glow rad="63500">
              <a:schemeClr val="accent6">
                <a:satMod val="175000"/>
                <a:alpha val="40000"/>
              </a:schemeClr>
            </a:glo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16</xdr:col>
      <xdr:colOff>466725</xdr:colOff>
      <xdr:row>14</xdr:row>
      <xdr:rowOff>138112</xdr:rowOff>
    </xdr:from>
    <xdr:to>
      <xdr:col>17</xdr:col>
      <xdr:colOff>588645</xdr:colOff>
      <xdr:row>15</xdr:row>
      <xdr:rowOff>130492</xdr:rowOff>
    </xdr:to>
    <xdr:sp macro="" textlink="">
      <xdr:nvSpPr>
        <xdr:cNvPr id="70" name="Rectangle: Rounded Corners 69">
          <a:extLst>
            <a:ext uri="{FF2B5EF4-FFF2-40B4-BE49-F238E27FC236}">
              <a16:creationId xmlns:a16="http://schemas.microsoft.com/office/drawing/2014/main" id="{72BF0A4A-340F-469C-811F-AB64865532DF}"/>
            </a:ext>
          </a:extLst>
        </xdr:cNvPr>
        <xdr:cNvSpPr/>
      </xdr:nvSpPr>
      <xdr:spPr>
        <a:xfrm>
          <a:off x="25079325" y="2947987"/>
          <a:ext cx="731520" cy="182880"/>
        </a:xfrm>
        <a:prstGeom prst="roundRect">
          <a:avLst/>
        </a:prstGeom>
        <a:solidFill>
          <a:schemeClr val="accent3"/>
        </a:solidFill>
        <a:ln>
          <a:noFill/>
        </a:ln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 Dalida" refreshedDate="45800.634435416665" createdVersion="8" refreshedVersion="8" minRefreshableVersion="3" recordCount="1" xr:uid="{504FD7BC-9AE7-415A-9664-20B49E753531}">
  <cacheSource type="external" connectionId="20"/>
  <cacheFields count="1">
    <cacheField name="Validation_Errors" numFmtId="0">
      <sharedItems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 Dalida" refreshedDate="45800.634437962966" createdVersion="8" refreshedVersion="8" minRefreshableVersion="3" recordCount="1" xr:uid="{CD71CBFF-965F-4C0A-88E2-B5F432D2A41D}">
  <cacheSource type="external" connectionId="23"/>
  <cacheFields count="1">
    <cacheField name="Validation_Errors" numFmtId="0">
      <sharedItems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 Dalida" refreshedDate="45800.634453472223" createdVersion="8" refreshedVersion="8" minRefreshableVersion="3" recordCount="1" xr:uid="{546A64EF-18A6-4FC2-883C-63EEB66C1F1D}">
  <cacheSource type="external" connectionId="3"/>
  <cacheFields count="1">
    <cacheField name="Validation_Errors" numFmtId="0">
      <sharedItems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 Dalida" refreshedDate="45800.634473148151" createdVersion="8" refreshedVersion="8" minRefreshableVersion="3" recordCount="1" xr:uid="{DA167FF7-A6C7-4861-ABDF-D3CEB6137147}">
  <cacheSource type="external" connectionId="5"/>
  <cacheFields count="1">
    <cacheField name="Validation_Errors" numFmtId="0">
      <sharedItems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 Dalida" refreshedDate="45800.634476041669" createdVersion="8" refreshedVersion="8" minRefreshableVersion="3" recordCount="1" xr:uid="{6AF4344B-4388-49C0-93F3-EE11A4B2960D}">
  <cacheSource type="external" connectionId="2"/>
  <cacheFields count="1">
    <cacheField name="Validation_Errors" numFmtId="0">
      <sharedItems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 Dalida" refreshedDate="45800.634479629633" createdVersion="8" refreshedVersion="8" minRefreshableVersion="3" recordCount="1" xr:uid="{6CC3A85B-383E-44CB-B433-0DAA6104A93F}">
  <cacheSource type="external" connectionId="28"/>
  <cacheFields count="1">
    <cacheField name="Validation_Errors" numFmtId="0">
      <sharedItems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 Dalida" refreshedDate="45800.634482060188" createdVersion="8" refreshedVersion="8" minRefreshableVersion="3" recordCount="1" xr:uid="{551762A9-91A7-4908-9287-743A1362E7EB}">
  <cacheSource type="external" connectionId="16"/>
  <cacheFields count="1">
    <cacheField name="Validation_Errors" numFmtId="0">
      <sharedItems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 Dalida" refreshedDate="45800.634493750003" createdVersion="8" refreshedVersion="8" minRefreshableVersion="3" recordCount="1" xr:uid="{19FE8B41-9967-40AD-AD53-664B2C9CE13D}">
  <cacheSource type="external" connectionId="11"/>
  <cacheFields count="1">
    <cacheField name="Validation_Errors" numFmtId="0">
      <sharedItems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 Dalida" refreshedDate="45800.634513541663" createdVersion="8" refreshedVersion="8" minRefreshableVersion="3" recordCount="1" xr:uid="{34708F81-2D29-43E1-B149-F22411A5E163}">
  <cacheSource type="external" connectionId="32"/>
  <cacheFields count="1">
    <cacheField name="Validation_Errors" numFmtId="0">
      <sharedItems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49BA94-44DC-4FAF-98FC-079687C44D0A}" name="PivotTable9" cacheId="8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>
  <location ref="D6:D7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Students" fld="0" subtotal="count" baseField="0" baseItem="0" numFmtId="3"/>
  </dataFields>
  <formats count="3"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</formats>
  <pivotTableStyleInfo name="Custom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DA0C42-8227-4B06-BC58-CC23BBAE30B6}" name="PivotTable12" cacheId="5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>
  <location ref="D12:D1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Schools" fld="0" subtotal="count" baseField="0" baseItem="0" numFmtId="3"/>
  </dataFields>
  <formats count="6">
    <format dxfId="30">
      <pivotArea type="all" dataOnly="0" outline="0" fieldPosition="0"/>
    </format>
    <format dxfId="29">
      <pivotArea outline="0" collapsedLevelsAreSubtotals="1" fieldPosition="0"/>
    </format>
    <format dxfId="28">
      <pivotArea outline="0" collapsedLevelsAreSubtotals="1" fieldPosition="0"/>
    </format>
    <format dxfId="27">
      <pivotArea type="all" dataOnly="0" outline="0" fieldPosition="0"/>
    </format>
    <format dxfId="26">
      <pivotArea dataOnly="0" labelOnly="1" outline="0" axis="axisValues" fieldPosition="0"/>
    </format>
    <format dxfId="25">
      <pivotArea outline="0" collapsedLevelsAreSubtotals="1" fieldPosition="0"/>
    </format>
  </formats>
  <pivotTableStyleInfo name="Custom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10A5F4-C1ED-48FC-9E72-AD3FD1D242A6}" name="PivotTable1" cacheId="0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>
  <location ref="D22:D2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Immunizations" fld="0" subtotal="count" baseField="0" baseItem="0" numFmtId="3"/>
  </dataFields>
  <formats count="1">
    <format dxfId="31">
      <pivotArea outline="0" collapsedLevelsAreSubtotals="1" fieldPosition="0"/>
    </format>
  </formats>
  <pivotTableStyleInfo name="Custom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EEA334-08AA-4EF2-857A-5E2F86906D31}" name="PivotTable11" cacheId="6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>
  <location ref="D10:D11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Faculty" fld="0" subtotal="count" baseField="0" baseItem="0" numFmtId="3"/>
  </dataFields>
  <formats count="6">
    <format dxfId="37">
      <pivotArea type="all" dataOnly="0" outline="0" fieldPosition="0"/>
    </format>
    <format dxfId="36">
      <pivotArea outline="0" collapsedLevelsAreSubtotals="1" fieldPosition="0"/>
    </format>
    <format dxfId="35">
      <pivotArea outline="0" collapsedLevelsAreSubtotals="1" fieldPosition="0"/>
    </format>
    <format dxfId="34">
      <pivotArea type="all" dataOnly="0" outline="0" fieldPosition="0"/>
    </format>
    <format dxfId="33">
      <pivotArea dataOnly="0" labelOnly="1" outline="0" axis="axisValues" fieldPosition="0"/>
    </format>
    <format dxfId="32">
      <pivotArea outline="0" collapsedLevelsAreSubtotals="1" fieldPosition="0"/>
    </format>
  </formats>
  <pivotTableStyleInfo name="Custom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A50308-05CA-471A-8537-0C4CE15F3F6F}" name="PivotTable14" cacheId="3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>
  <location ref="D16:D17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Class Teacher" fld="0" subtotal="count" baseField="0" baseItem="0" numFmtId="3"/>
  </dataFields>
  <formats count="6">
    <format dxfId="43">
      <pivotArea type="all" dataOnly="0" outline="0" fieldPosition="0"/>
    </format>
    <format dxfId="42">
      <pivotArea outline="0" collapsedLevelsAreSubtotals="1" fieldPosition="0"/>
    </format>
    <format dxfId="41">
      <pivotArea outline="0" collapsedLevelsAreSubtotals="1" fieldPosition="0"/>
    </format>
    <format dxfId="40">
      <pivotArea type="all" dataOnly="0" outline="0" fieldPosition="0"/>
    </format>
    <format dxfId="39">
      <pivotArea dataOnly="0" labelOnly="1" outline="0" axis="axisValues" fieldPosition="0"/>
    </format>
    <format dxfId="38">
      <pivotArea outline="0" collapsedLevelsAreSubtotals="1" fieldPosition="0"/>
    </format>
  </formats>
  <pivotTableStyleInfo name="Custom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F8B1AC-3881-47FD-BF1C-461675C3E504}" name="PivotTable17" cacheId="1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>
  <location ref="D20:D21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Medical Alerts" fld="0" baseField="0" baseItem="0" numFmtId="3"/>
  </dataFields>
  <formats count="4">
    <format dxfId="47">
      <pivotArea outline="0" collapsedLevelsAreSubtotals="1" fieldPosition="0"/>
    </format>
    <format dxfId="46">
      <pivotArea type="all" dataOnly="0" outline="0" fieldPosition="0"/>
    </format>
    <format dxfId="45">
      <pivotArea dataOnly="0" labelOnly="1" outline="0" axis="axisValues" fieldPosition="0"/>
    </format>
    <format dxfId="44">
      <pivotArea outline="0" collapsedLevelsAreSubtotals="1" fieldPosition="0"/>
    </format>
  </formats>
  <pivotTableStyleInfo name="Custom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B7EE5-17F9-4EF4-A69A-BCCD4874BEF2}" name="PivotTable13" cacheId="4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>
  <location ref="D14:D15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Class" fld="0" subtotal="count" baseField="0" baseItem="0" numFmtId="3"/>
  </dataFields>
  <formats count="6">
    <format dxfId="53">
      <pivotArea type="all" dataOnly="0" outline="0" fieldPosition="0"/>
    </format>
    <format dxfId="52">
      <pivotArea outline="0" collapsedLevelsAreSubtotals="1" fieldPosition="0"/>
    </format>
    <format dxfId="51">
      <pivotArea outline="0" collapsedLevelsAreSubtotals="1" fieldPosition="0"/>
    </format>
    <format dxfId="50">
      <pivotArea type="all" dataOnly="0" outline="0" fieldPosition="0"/>
    </format>
    <format dxfId="49">
      <pivotArea dataOnly="0" labelOnly="1" outline="0" axis="axisValues" fieldPosition="0"/>
    </format>
    <format dxfId="48">
      <pivotArea outline="0" collapsedLevelsAreSubtotals="1" fieldPosition="0"/>
    </format>
  </formats>
  <pivotTableStyleInfo name="Custom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C68FBD-AAF8-42BC-AE7A-F43071831E4C}" name="PivotTable15" cacheId="2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>
  <location ref="D18:D19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Class Roster" fld="0" subtotal="count" baseField="0" baseItem="0" numFmtId="3"/>
  </dataFields>
  <formats count="6">
    <format dxfId="59">
      <pivotArea type="all" dataOnly="0" outline="0" fieldPosition="0"/>
    </format>
    <format dxfId="58">
      <pivotArea outline="0" collapsedLevelsAreSubtotals="1" fieldPosition="0"/>
    </format>
    <format dxfId="57">
      <pivotArea outline="0" collapsedLevelsAreSubtotals="1" fieldPosition="0"/>
    </format>
    <format dxfId="56">
      <pivotArea type="all" dataOnly="0" outline="0" fieldPosition="0"/>
    </format>
    <format dxfId="55">
      <pivotArea dataOnly="0" labelOnly="1" outline="0" axis="axisValues" fieldPosition="0"/>
    </format>
    <format dxfId="54">
      <pivotArea outline="0" collapsedLevelsAreSubtotals="1" fieldPosition="0"/>
    </format>
  </formats>
  <pivotTableStyleInfo name="Custom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EFA738-9BA1-4D72-91D9-CCC9D0115E28}" name="PivotTable10" cacheId="7" applyNumberFormats="0" applyBorderFormats="0" applyFontFormats="0" applyPatternFormats="0" applyAlignmentFormats="0" applyWidthHeightFormats="1" dataCaption="Values" missingCaption="0" updatedVersion="8" minRefreshableVersion="3" itemPrintTitles="1" createdVersion="8" indent="0" multipleFieldFilters="0">
  <location ref="D8:D9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Contacts" fld="0" subtotal="count" baseField="0" baseItem="0" numFmtId="3"/>
  </dataFields>
  <formats count="6">
    <format dxfId="65">
      <pivotArea type="all" dataOnly="0" outline="0" fieldPosition="0"/>
    </format>
    <format dxfId="64">
      <pivotArea outline="0" collapsedLevelsAreSubtotals="1" fieldPosition="0"/>
    </format>
    <format dxfId="63">
      <pivotArea outline="0" collapsedLevelsAreSubtotals="1" fieldPosition="0"/>
    </format>
    <format dxfId="62">
      <pivotArea type="all" dataOnly="0" outline="0" fieldPosition="0"/>
    </format>
    <format dxfId="61">
      <pivotArea dataOnly="0" labelOnly="1" outline="0" axis="axisValues" fieldPosition="0"/>
    </format>
    <format dxfId="60">
      <pivotArea outline="0" collapsedLevelsAreSubtotals="1" fieldPosition="0"/>
    </format>
  </formats>
  <pivotTableStyleInfo name="Custom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9" xr16:uid="{C81C9C82-54B0-49FD-9D40-DF64C4898523}" autoFormatId="16" applyNumberFormats="0" applyBorderFormats="0" applyFontFormats="0" applyPatternFormats="0" applyAlignmentFormats="0" applyWidthHeightFormats="0">
  <queryTableRefresh nextId="19">
    <queryTableFields count="4">
      <queryTableField id="7" name="Name" tableColumnId="7"/>
      <queryTableField id="16" name="Column" tableColumnId="16"/>
      <queryTableField id="17" name="Row" tableColumnId="17"/>
      <queryTableField id="18" name="Value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5" xr16:uid="{B872C89F-9ADB-46EC-BEC5-7AB9A48DE1B1}" autoFormatId="16" applyNumberFormats="0" applyBorderFormats="0" applyFontFormats="0" applyPatternFormats="0" applyAlignmentFormats="0" applyWidthHeightFormats="0">
  <queryTableRefresh nextId="8">
    <queryTableFields count="3">
      <queryTableField id="1" name="Attribute" tableColumnId="1"/>
      <queryTableField id="2" name="Errors" tableColumnId="2"/>
      <queryTableField id="3" name="No Errors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3" xr16:uid="{5B4E6A42-82A0-4C1B-9F4A-F3C05DEB46EE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Count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2" xr16:uid="{BC497B17-5AC5-4310-9034-DAB5C86FD43A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Coun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9" xr16:uid="{515880F2-4CB6-44FA-BC3F-BBFFE141A485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Count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7" xr16:uid="{BB0A6760-4313-470A-B41E-8F30A07D4B22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Count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9" xr16:uid="{B5F51946-7846-4707-BFB8-44049F5397EA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Count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connectionId="8" xr16:uid="{63CE9EA5-1B79-4510-BF7E-F0C51300FC40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Coun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connectionId="17" xr16:uid="{13850D12-7DD2-4BE8-BCEF-5BD11A0BC390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Count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connectionId="25" xr16:uid="{893EC023-648D-4D18-AA10-ABAE30770786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Count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connectionId="21" xr16:uid="{F0221934-BB74-4F3D-B87B-D44DF08B62E7}" autoFormatId="16" applyNumberFormats="0" applyBorderFormats="0" applyFontFormats="0" applyPatternFormats="0" applyAlignmentFormats="0" applyWidthHeightFormats="0">
  <queryTableRefresh nextId="3">
    <queryTableFields count="2">
      <queryTableField id="1" name="Value" tableColumnId="1"/>
      <queryTableField id="2" name="Count" tableColumnId="2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8">
  <rv s="0">
    <v>0</v>
    <v>4</v>
  </rv>
  <rv s="0">
    <v>1</v>
    <v>4</v>
  </rv>
  <rv s="0">
    <v>0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</v>
    <v>5</v>
  </rv>
  <rv s="0">
    <v>15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7FE8283-7607-42C4-8EFE-19ED78FE5E95}" name="heatmap" displayName="heatmap" ref="A2:D3" tableType="queryTable" insertRow="1" totalsRowShown="0" dataDxfId="21">
  <autoFilter ref="A2:D3" xr:uid="{77FE8283-7607-42C4-8EFE-19ED78FE5E95}"/>
  <tableColumns count="4">
    <tableColumn id="7" xr3:uid="{9951952B-6FF3-441D-9288-39504359BE62}" uniqueName="7" name="Name" queryTableFieldId="7"/>
    <tableColumn id="16" xr3:uid="{32E2ED48-8AEA-4D2D-896A-9360EE696E09}" uniqueName="16" name="Column" queryTableFieldId="16"/>
    <tableColumn id="17" xr3:uid="{F3FD606D-62BC-411B-84FB-BFEEDE9D615C}" uniqueName="17" name="Row" queryTableFieldId="17"/>
    <tableColumn id="18" xr3:uid="{0A2A04FD-6A82-45C3-8C41-E517A1F2E908}" uniqueName="18" name="Value" queryTableFieldId="18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5F0A359-5A5A-4AA3-8FD1-CF56653184C8}" name="Total_Records" displayName="Total_Records" ref="A1:C9" tableType="queryTable" totalsRowShown="0">
  <autoFilter ref="A1:C9" xr:uid="{A5F0A359-5A5A-4AA3-8FD1-CF56653184C8}"/>
  <tableColumns count="3">
    <tableColumn id="1" xr3:uid="{E125B9C3-9305-42FE-89E3-62070D697D78}" uniqueName="1" name="Attribute" queryTableFieldId="1" dataDxfId="19"/>
    <tableColumn id="2" xr3:uid="{22311F5E-C188-48C0-8137-51FE3ACF3810}" uniqueName="2" name="Errors" queryTableFieldId="2"/>
    <tableColumn id="3" xr3:uid="{E40FAC92-6C51-482B-BC98-5C7D275F1088}" uniqueName="3" name="No Errors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01F495-386E-4EC7-BD72-38C1C28F984D}" name="Students_errors" displayName="Students_errors" ref="T2:U3" tableType="queryTable" totalsRowShown="0">
  <autoFilter ref="T2:U3" xr:uid="{6001F495-386E-4EC7-BD72-38C1C28F984D}"/>
  <tableColumns count="2">
    <tableColumn id="1" xr3:uid="{0D98E0EB-5E7C-4346-A15E-35C28CF2727D}" uniqueName="1" name="Value" queryTableFieldId="1" dataDxfId="18"/>
    <tableColumn id="2" xr3:uid="{7052BECF-3319-46F4-807B-BB6DC613520F}" uniqueName="2" name="Count" queryTableFieldId="2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91B3DE-92C0-48DA-B06B-6DBE4E32CFD9}" name="Contacts_errors" displayName="Contacts_errors" ref="W2:X3" tableType="queryTable" totalsRowShown="0">
  <autoFilter ref="W2:X3" xr:uid="{8891B3DE-92C0-48DA-B06B-6DBE4E32CFD9}"/>
  <tableColumns count="2">
    <tableColumn id="1" xr3:uid="{AD6F63D8-D622-49F7-86E1-9810D7CA704C}" uniqueName="1" name="Value" queryTableFieldId="1" dataDxfId="16"/>
    <tableColumn id="2" xr3:uid="{E218A486-486B-4FBD-BC23-B4A948B9F7A1}" uniqueName="2" name="Count" queryTableFieldId="2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8C1937-B439-4A28-BE43-6FA88031AAB4}" name="Schools_errors" displayName="Schools_errors" ref="Z2:AA3" tableType="queryTable" totalsRowShown="0">
  <autoFilter ref="Z2:AA3" xr:uid="{1C8C1937-B439-4A28-BE43-6FA88031AAB4}"/>
  <tableColumns count="2">
    <tableColumn id="1" xr3:uid="{7CE1FADE-59B3-4ABE-AACB-AC02AE504039}" uniqueName="1" name="Value" queryTableFieldId="1" dataDxfId="14"/>
    <tableColumn id="2" xr3:uid="{769A6C9E-70D2-4D46-8AAA-B8B40DA0BB39}" uniqueName="2" name="Count" queryTableFieldId="2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097491-EF6B-464D-97F5-01808F2453F6}" name="Class_errors" displayName="Class_errors" ref="AC2:AD3" tableType="queryTable" totalsRowShown="0">
  <autoFilter ref="AC2:AD3" xr:uid="{0D097491-EF6B-464D-97F5-01808F2453F6}"/>
  <tableColumns count="2">
    <tableColumn id="1" xr3:uid="{20943636-7C7B-459E-B78A-DC3058821CC9}" uniqueName="1" name="Value" queryTableFieldId="1" dataDxfId="12"/>
    <tableColumn id="2" xr3:uid="{7A7B55DC-C03A-48F6-B5D9-8612FC858929}" uniqueName="2" name="Count" queryTableFieldId="2" dataDxf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E21AF02-00EB-4770-BCC5-8D16989E5E63}" name="Class_Teacher_errors" displayName="Class_Teacher_errors" ref="AF2:AG3" tableType="queryTable" totalsRowShown="0">
  <autoFilter ref="AF2:AG3" xr:uid="{8E21AF02-00EB-4770-BCC5-8D16989E5E63}"/>
  <tableColumns count="2">
    <tableColumn id="1" xr3:uid="{63A16BCA-AEDB-4E99-85C9-2FA097DE9A5C}" uniqueName="1" name="Value" queryTableFieldId="1" dataDxfId="10"/>
    <tableColumn id="2" xr3:uid="{C15182CD-CC86-4684-84E4-2743F98B3971}" uniqueName="2" name="Count" queryTableFieldId="2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AEDCDB3-953D-4D29-BD09-9F1243CDB6F8}" name="Class_Roster_errors" displayName="Class_Roster_errors" ref="AI2:AJ3" tableType="queryTable" totalsRowShown="0">
  <autoFilter ref="AI2:AJ3" xr:uid="{AAEDCDB3-953D-4D29-BD09-9F1243CDB6F8}"/>
  <tableColumns count="2">
    <tableColumn id="1" xr3:uid="{FA0594D0-FBEA-4543-A33A-79D024D6D5D1}" uniqueName="1" name="Value" queryTableFieldId="1" dataDxfId="8"/>
    <tableColumn id="2" xr3:uid="{46BD6DB0-1E51-47F6-BAE5-FA60ADD7B189}" uniqueName="2" name="Count" queryTableFieldId="2" dataDxf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8D685A7-7E11-4452-BA16-DACD81E75048}" name="Faculty_errors" displayName="Faculty_errors" ref="AL2:AM3" tableType="queryTable" totalsRowShown="0">
  <autoFilter ref="AL2:AM3" xr:uid="{68D685A7-7E11-4452-BA16-DACD81E75048}"/>
  <tableColumns count="2">
    <tableColumn id="1" xr3:uid="{3827CD08-A40D-481D-AEA2-1EB1902B6257}" uniqueName="1" name="Value" queryTableFieldId="1" dataDxfId="6"/>
    <tableColumn id="2" xr3:uid="{E17E000B-95EE-4693-B7A3-F7B478390B1E}" uniqueName="2" name="Count" queryTableFieldId="2" dataDxfId="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D992340-8847-4791-8245-348CD4FD3A33}" name="Medical_Alerts_errors" displayName="Medical_Alerts_errors" ref="AO2:AP3" tableType="queryTable" totalsRowShown="0">
  <autoFilter ref="AO2:AP3" xr:uid="{3D992340-8847-4791-8245-348CD4FD3A33}"/>
  <tableColumns count="2">
    <tableColumn id="1" xr3:uid="{E7DF07ED-637D-419A-B0F2-08A9A7979342}" uniqueName="1" name="Value" queryTableFieldId="1"/>
    <tableColumn id="2" xr3:uid="{C8E0128F-A031-4B12-85BE-D86AB55F9090}" uniqueName="2" name="Coun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4687AA-12FC-4F2D-BC62-A5353A75057B}" name="Immunizations_errors" displayName="Immunizations_errors" ref="AR2:AS3" tableType="queryTable" totalsRowShown="0">
  <autoFilter ref="AR2:AS3" xr:uid="{024687AA-12FC-4F2D-BC62-A5353A75057B}"/>
  <tableColumns count="2">
    <tableColumn id="1" xr3:uid="{718327B4-3C5C-4AE9-A889-3E82C94EE43A}" uniqueName="1" name="Value" queryTableFieldId="1" dataDxfId="4"/>
    <tableColumn id="2" xr3:uid="{DBA88C59-542B-400B-B85A-4FE56E50F694}" uniqueName="2" name="Count" queryTableFieldId="2" dataDxfId="3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FC2C26-81E5-4D52-9492-86EA60602C39}" name="No_Errors" displayName="No_Errors" ref="A1:B2" insertRow="1" totalsRowShown="0">
  <autoFilter ref="A1:B2" xr:uid="{17FC2C26-81E5-4D52-9492-86EA60602C39}"/>
  <tableColumns count="2">
    <tableColumn id="1" xr3:uid="{40BBD7A1-1FE8-40F9-A451-9E908B9D9410}" name="Errors"/>
    <tableColumn id="2" xr3:uid="{CCD2CA29-250A-480A-AFA3-C6692C4A8DBC}" name="Total Error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CAA519A-77F4-4819-BF32-2BCD0C8E5CEE}" name="empty_error" displayName="empty_error" ref="D1:E2" insertRow="1" totalsRowShown="0" headerRowDxfId="2" headerRowBorderDxfId="1" tableBorderDxfId="0">
  <autoFilter ref="D1:E2" xr:uid="{ECAA519A-77F4-4819-BF32-2BCD0C8E5CEE}"/>
  <tableColumns count="2">
    <tableColumn id="1" xr3:uid="{492DB840-1B85-4511-B31A-34595CB50DA5}" name="Value"/>
    <tableColumn id="2" xr3:uid="{A90F701E-A90A-4537-A9C9-042248E0BB8E}" name="Count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C4E4768-242B-4D08-A05C-6C9BA409BB6E}" name="Empty_file" displayName="Empty_file" ref="G1:G2" totalsRowShown="0">
  <autoFilter ref="G1:G2" xr:uid="{7C4E4768-242B-4D08-A05C-6C9BA409BB6E}"/>
  <tableColumns count="1">
    <tableColumn id="1" xr3:uid="{27C4342C-48E5-47EC-A617-1C42BC44D8AA}" name="Validation_Error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A4EC386-0823-4A15-891A-09783CB19577}" name="Records_No_Errors" displayName="Records_No_Errors" ref="I1:K9" totalsRowShown="0">
  <autoFilter ref="I1:K9" xr:uid="{2A4EC386-0823-4A15-891A-09783CB19577}"/>
  <tableColumns count="3">
    <tableColumn id="1" xr3:uid="{5FE63301-65DE-40AC-89F8-8CF944BDFB55}" name="Attribute"/>
    <tableColumn id="2" xr3:uid="{F43B8E72-5556-4A8C-896A-B2E4D5D49BF2}" name="Errors"/>
    <tableColumn id="3" xr3:uid="{18B85A9E-AE63-4A58-B277-BD9B686A7EFA}" name="No Erro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A86D0-D724-4DAE-8733-F4E2F849DF12}">
  <sheetPr codeName="Sheet6"/>
  <dimension ref="A1:BV50"/>
  <sheetViews>
    <sheetView showGridLines="0" showRowColHeaders="0" tabSelected="1" zoomScaleNormal="100" workbookViewId="0">
      <selection activeCell="I20" sqref="I20"/>
    </sheetView>
  </sheetViews>
  <sheetFormatPr defaultRowHeight="15" x14ac:dyDescent="0.25"/>
  <cols>
    <col min="1" max="1" width="9.140625" style="3"/>
    <col min="2" max="2" width="9.140625" style="3" customWidth="1"/>
    <col min="3" max="3" width="9.140625" style="3"/>
    <col min="4" max="5" width="9.140625" style="3" customWidth="1"/>
    <col min="6" max="81" width="3.5703125" style="3" customWidth="1"/>
    <col min="82" max="82" width="5" style="3" customWidth="1"/>
    <col min="83" max="16384" width="9.140625" style="3"/>
  </cols>
  <sheetData>
    <row r="1" spans="1:74" ht="18.75" customHeight="1" x14ac:dyDescent="0.25">
      <c r="A1" s="12"/>
      <c r="B1" s="12"/>
      <c r="C1" s="12"/>
      <c r="D1" s="12"/>
      <c r="E1" s="12"/>
      <c r="F1" s="14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</row>
    <row r="2" spans="1:74" ht="18.75" customHeight="1" x14ac:dyDescent="0.3">
      <c r="A2" s="12"/>
      <c r="B2" s="12"/>
      <c r="C2" s="12"/>
      <c r="D2" s="12"/>
      <c r="E2" s="12"/>
      <c r="F2" s="14"/>
      <c r="G2" s="19"/>
      <c r="H2" s="19"/>
      <c r="I2" s="26" t="s">
        <v>3</v>
      </c>
      <c r="J2" s="26"/>
      <c r="K2" s="26"/>
      <c r="L2" s="26"/>
      <c r="M2" s="26"/>
      <c r="N2" s="26"/>
      <c r="O2" s="26"/>
      <c r="P2" s="26"/>
      <c r="Q2" s="14"/>
      <c r="R2" s="14"/>
      <c r="S2" s="14"/>
      <c r="T2" s="14"/>
      <c r="U2" s="26" t="s">
        <v>4</v>
      </c>
      <c r="V2" s="26"/>
      <c r="W2" s="26"/>
      <c r="X2" s="26"/>
      <c r="Y2" s="26"/>
      <c r="Z2" s="26"/>
      <c r="AA2" s="26"/>
      <c r="AB2" s="26"/>
      <c r="AC2" s="14"/>
      <c r="AD2" s="14"/>
      <c r="AE2" s="14"/>
      <c r="AF2" s="14"/>
      <c r="AG2" s="26" t="s">
        <v>9</v>
      </c>
      <c r="AH2" s="26"/>
      <c r="AI2" s="26"/>
      <c r="AJ2" s="26"/>
      <c r="AK2" s="26"/>
      <c r="AL2" s="26"/>
      <c r="AM2" s="26"/>
      <c r="AN2" s="26"/>
      <c r="AO2" s="14"/>
      <c r="AP2" s="14"/>
      <c r="AQ2" s="14"/>
      <c r="AR2" s="14"/>
      <c r="AS2" s="26" t="s">
        <v>5</v>
      </c>
      <c r="AT2" s="26"/>
      <c r="AU2" s="26"/>
      <c r="AV2" s="26"/>
      <c r="AW2" s="26"/>
      <c r="AX2" s="26"/>
      <c r="AY2" s="26"/>
      <c r="AZ2" s="26"/>
      <c r="BA2" s="19"/>
      <c r="BB2" s="19"/>
      <c r="BC2" s="19"/>
      <c r="BD2" s="19"/>
      <c r="BE2" s="26" t="s">
        <v>10</v>
      </c>
      <c r="BF2" s="26"/>
      <c r="BG2" s="26"/>
      <c r="BH2" s="26"/>
      <c r="BI2" s="26"/>
      <c r="BJ2" s="26"/>
      <c r="BK2" s="26"/>
      <c r="BL2" s="26"/>
      <c r="BM2" s="19"/>
      <c r="BN2" s="19"/>
      <c r="BO2" s="19"/>
      <c r="BP2" s="19"/>
      <c r="BQ2" s="19"/>
      <c r="BR2" s="19"/>
      <c r="BS2" s="19"/>
      <c r="BT2" s="19"/>
      <c r="BU2" s="19"/>
      <c r="BV2" s="19"/>
    </row>
    <row r="3" spans="1:74" ht="18.75" customHeight="1" x14ac:dyDescent="0.25">
      <c r="A3" s="12"/>
      <c r="B3" s="12"/>
      <c r="C3" s="12"/>
      <c r="D3" s="12"/>
      <c r="E3" s="12"/>
      <c r="F3" s="14"/>
      <c r="G3" s="19"/>
      <c r="H3" s="19"/>
      <c r="I3" s="17" t="e" vm="1">
        <f>'Students-heatmap'!G3</f>
        <v>#VALUE!</v>
      </c>
      <c r="J3" s="17" t="e" vm="1">
        <f>'Students-heatmap'!H3</f>
        <v>#VALUE!</v>
      </c>
      <c r="K3" s="17" t="e" vm="1">
        <f>'Students-heatmap'!I3</f>
        <v>#VALUE!</v>
      </c>
      <c r="L3" s="17" t="e" vm="1">
        <f>'Students-heatmap'!J3</f>
        <v>#VALUE!</v>
      </c>
      <c r="M3" s="17" t="e" vm="1">
        <f>'Students-heatmap'!K3</f>
        <v>#VALUE!</v>
      </c>
      <c r="N3" s="17" t="e" vm="1">
        <f>'Students-heatmap'!L3</f>
        <v>#VALUE!</v>
      </c>
      <c r="O3" s="17" t="e" vm="1">
        <f>'Students-heatmap'!M3</f>
        <v>#VALUE!</v>
      </c>
      <c r="P3" s="17" t="e" vm="1">
        <f>'Students-heatmap'!N3</f>
        <v>#VALUE!</v>
      </c>
      <c r="Q3" s="14"/>
      <c r="R3" s="14"/>
      <c r="S3" s="14"/>
      <c r="T3" s="14"/>
      <c r="U3" s="17" t="e" vm="1">
        <f>'Students-heatmap'!G75</f>
        <v>#VALUE!</v>
      </c>
      <c r="V3" s="17" t="e" vm="1">
        <f>'Students-heatmap'!H75</f>
        <v>#VALUE!</v>
      </c>
      <c r="W3" s="17" t="e" vm="1">
        <f>'Students-heatmap'!I75</f>
        <v>#VALUE!</v>
      </c>
      <c r="X3" s="17" t="e" vm="1">
        <f>'Students-heatmap'!J75</f>
        <v>#VALUE!</v>
      </c>
      <c r="Y3" s="17" t="e" vm="1">
        <f>'Students-heatmap'!K75</f>
        <v>#VALUE!</v>
      </c>
      <c r="Z3" s="17" t="e" vm="1">
        <f>'Students-heatmap'!L75</f>
        <v>#VALUE!</v>
      </c>
      <c r="AA3" s="17" t="e" vm="1">
        <f>'Students-heatmap'!M75</f>
        <v>#VALUE!</v>
      </c>
      <c r="AB3" s="17" t="e" vm="1">
        <f>'Students-heatmap'!N75</f>
        <v>#VALUE!</v>
      </c>
      <c r="AC3" s="14"/>
      <c r="AD3" s="14"/>
      <c r="AE3" s="14"/>
      <c r="AF3" s="14"/>
      <c r="AG3" s="17" t="e" vm="1">
        <f>'Students-heatmap'!G15</f>
        <v>#VALUE!</v>
      </c>
      <c r="AH3" s="17" t="e" vm="1">
        <f>'Students-heatmap'!H15</f>
        <v>#VALUE!</v>
      </c>
      <c r="AI3" s="17" t="e" vm="1">
        <f>'Students-heatmap'!I15</f>
        <v>#VALUE!</v>
      </c>
      <c r="AJ3" s="17" t="e" vm="1">
        <f>'Students-heatmap'!J15</f>
        <v>#VALUE!</v>
      </c>
      <c r="AK3" s="17" t="e" vm="1">
        <f>'Students-heatmap'!K15</f>
        <v>#VALUE!</v>
      </c>
      <c r="AL3" s="17" t="e" vm="1">
        <f>'Students-heatmap'!L15</f>
        <v>#VALUE!</v>
      </c>
      <c r="AM3" s="17" t="e" vm="1">
        <f>'Students-heatmap'!M15</f>
        <v>#VALUE!</v>
      </c>
      <c r="AN3" s="17" t="e" vm="1">
        <f>'Students-heatmap'!N15</f>
        <v>#VALUE!</v>
      </c>
      <c r="AO3" s="14"/>
      <c r="AP3" s="14"/>
      <c r="AQ3" s="14"/>
      <c r="AR3" s="14"/>
      <c r="AS3" s="17" t="e" vm="1">
        <f>'Students-heatmap'!G87</f>
        <v>#VALUE!</v>
      </c>
      <c r="AT3" s="17" t="e" vm="1">
        <f>'Students-heatmap'!H87</f>
        <v>#VALUE!</v>
      </c>
      <c r="AU3" s="17" t="e" vm="1">
        <f>'Students-heatmap'!I87</f>
        <v>#VALUE!</v>
      </c>
      <c r="AV3" s="17" t="e" vm="1">
        <f>'Students-heatmap'!J87</f>
        <v>#VALUE!</v>
      </c>
      <c r="AW3" s="17" t="e" vm="1">
        <f>'Students-heatmap'!K87</f>
        <v>#VALUE!</v>
      </c>
      <c r="AX3" s="17" t="e" vm="1">
        <f>'Students-heatmap'!L87</f>
        <v>#VALUE!</v>
      </c>
      <c r="AY3" s="17" t="e" vm="1">
        <f>'Students-heatmap'!M87</f>
        <v>#VALUE!</v>
      </c>
      <c r="AZ3" s="17" t="e" vm="1">
        <f>'Students-heatmap'!N87</f>
        <v>#VALUE!</v>
      </c>
      <c r="BA3" s="19"/>
      <c r="BB3" s="19"/>
      <c r="BC3" s="19"/>
      <c r="BD3" s="19"/>
      <c r="BE3" s="17" t="e" vm="1">
        <f>'Students-heatmap'!G63</f>
        <v>#VALUE!</v>
      </c>
      <c r="BF3" s="17" t="e" vm="1">
        <f>'Students-heatmap'!H63</f>
        <v>#VALUE!</v>
      </c>
      <c r="BG3" s="17" t="e" vm="1">
        <f>'Students-heatmap'!I63</f>
        <v>#VALUE!</v>
      </c>
      <c r="BH3" s="17" t="e" vm="1">
        <f>'Students-heatmap'!J63</f>
        <v>#VALUE!</v>
      </c>
      <c r="BI3" s="17" t="e" vm="1">
        <f>'Students-heatmap'!K63</f>
        <v>#VALUE!</v>
      </c>
      <c r="BJ3" s="17" t="e" vm="1">
        <f>'Students-heatmap'!L63</f>
        <v>#VALUE!</v>
      </c>
      <c r="BK3" s="17" t="e" vm="1">
        <f>'Students-heatmap'!M63</f>
        <v>#VALUE!</v>
      </c>
      <c r="BL3" s="17" t="e" vm="1">
        <f>'Students-heatmap'!N63</f>
        <v>#VALUE!</v>
      </c>
      <c r="BM3" s="19"/>
      <c r="BN3" s="19"/>
      <c r="BO3" s="19"/>
      <c r="BP3" s="19"/>
      <c r="BQ3" s="19"/>
      <c r="BR3" s="19"/>
      <c r="BS3" s="19"/>
      <c r="BT3" s="19"/>
      <c r="BU3" s="19"/>
      <c r="BV3" s="19"/>
    </row>
    <row r="4" spans="1:74" ht="18.75" customHeight="1" x14ac:dyDescent="0.25">
      <c r="A4" s="12"/>
      <c r="B4" s="12"/>
      <c r="C4" s="12"/>
      <c r="D4" s="12"/>
      <c r="E4" s="12"/>
      <c r="F4" s="14"/>
      <c r="G4" s="19"/>
      <c r="H4" s="19"/>
      <c r="I4" s="17" t="e" vm="1">
        <f>'Students-heatmap'!G4</f>
        <v>#VALUE!</v>
      </c>
      <c r="J4" s="17" t="e" vm="1">
        <f>'Students-heatmap'!H4</f>
        <v>#VALUE!</v>
      </c>
      <c r="K4" s="17" t="e" vm="1">
        <f>'Students-heatmap'!I4</f>
        <v>#VALUE!</v>
      </c>
      <c r="L4" s="17" t="e" vm="1">
        <f>'Students-heatmap'!J4</f>
        <v>#VALUE!</v>
      </c>
      <c r="M4" s="17" t="e" vm="1">
        <f>'Students-heatmap'!K4</f>
        <v>#VALUE!</v>
      </c>
      <c r="N4" s="17" t="e" vm="1">
        <f>'Students-heatmap'!L4</f>
        <v>#VALUE!</v>
      </c>
      <c r="O4" s="17" t="e" vm="1">
        <f>'Students-heatmap'!M4</f>
        <v>#VALUE!</v>
      </c>
      <c r="P4" s="17" t="e" vm="1">
        <f>'Students-heatmap'!N4</f>
        <v>#VALUE!</v>
      </c>
      <c r="Q4" s="14"/>
      <c r="R4" s="14"/>
      <c r="S4" s="14"/>
      <c r="T4" s="14"/>
      <c r="U4" s="17" t="e" vm="1">
        <f>'Students-heatmap'!G76</f>
        <v>#VALUE!</v>
      </c>
      <c r="V4" s="17" t="e" vm="1">
        <f>'Students-heatmap'!H76</f>
        <v>#VALUE!</v>
      </c>
      <c r="W4" s="17" t="e" vm="1">
        <f>'Students-heatmap'!I76</f>
        <v>#VALUE!</v>
      </c>
      <c r="X4" s="17" t="e" vm="1">
        <f>'Students-heatmap'!J76</f>
        <v>#VALUE!</v>
      </c>
      <c r="Y4" s="17" t="e" vm="1">
        <f>'Students-heatmap'!K76</f>
        <v>#VALUE!</v>
      </c>
      <c r="Z4" s="17" t="e" vm="1">
        <f>'Students-heatmap'!L76</f>
        <v>#VALUE!</v>
      </c>
      <c r="AA4" s="17" t="e" vm="1">
        <f>'Students-heatmap'!M76</f>
        <v>#VALUE!</v>
      </c>
      <c r="AB4" s="17" t="e" vm="1">
        <f>'Students-heatmap'!N76</f>
        <v>#VALUE!</v>
      </c>
      <c r="AC4" s="14"/>
      <c r="AD4" s="14"/>
      <c r="AE4" s="14"/>
      <c r="AF4" s="14"/>
      <c r="AG4" s="17" t="e" vm="1">
        <f>'Students-heatmap'!G16</f>
        <v>#VALUE!</v>
      </c>
      <c r="AH4" s="17" t="e" vm="1">
        <f>'Students-heatmap'!H16</f>
        <v>#VALUE!</v>
      </c>
      <c r="AI4" s="17" t="e" vm="1">
        <f>'Students-heatmap'!I16</f>
        <v>#VALUE!</v>
      </c>
      <c r="AJ4" s="17" t="e" vm="1">
        <f>'Students-heatmap'!J16</f>
        <v>#VALUE!</v>
      </c>
      <c r="AK4" s="17" t="e" vm="1">
        <f>'Students-heatmap'!K16</f>
        <v>#VALUE!</v>
      </c>
      <c r="AL4" s="17" t="e" vm="1">
        <f>'Students-heatmap'!L16</f>
        <v>#VALUE!</v>
      </c>
      <c r="AM4" s="17" t="e" vm="1">
        <f>'Students-heatmap'!M16</f>
        <v>#VALUE!</v>
      </c>
      <c r="AN4" s="17" t="e" vm="1">
        <f>'Students-heatmap'!N16</f>
        <v>#VALUE!</v>
      </c>
      <c r="AO4" s="14"/>
      <c r="AP4" s="14"/>
      <c r="AQ4" s="14"/>
      <c r="AR4" s="14"/>
      <c r="AS4" s="17" t="e" vm="1">
        <f>'Students-heatmap'!G88</f>
        <v>#VALUE!</v>
      </c>
      <c r="AT4" s="17" t="e" vm="1">
        <f>'Students-heatmap'!H88</f>
        <v>#VALUE!</v>
      </c>
      <c r="AU4" s="17" t="e" vm="1">
        <f>'Students-heatmap'!I88</f>
        <v>#VALUE!</v>
      </c>
      <c r="AV4" s="17" t="e" vm="1">
        <f>'Students-heatmap'!J88</f>
        <v>#VALUE!</v>
      </c>
      <c r="AW4" s="17" t="e" vm="1">
        <f>'Students-heatmap'!K88</f>
        <v>#VALUE!</v>
      </c>
      <c r="AX4" s="17" t="e" vm="1">
        <f>'Students-heatmap'!L88</f>
        <v>#VALUE!</v>
      </c>
      <c r="AY4" s="17" t="e" vm="1">
        <f>'Students-heatmap'!M88</f>
        <v>#VALUE!</v>
      </c>
      <c r="AZ4" s="17" t="e" vm="1">
        <f>'Students-heatmap'!N88</f>
        <v>#VALUE!</v>
      </c>
      <c r="BA4" s="19"/>
      <c r="BB4" s="19"/>
      <c r="BC4" s="19"/>
      <c r="BD4" s="19"/>
      <c r="BE4" s="17" t="e" vm="1">
        <f>'Students-heatmap'!G64</f>
        <v>#VALUE!</v>
      </c>
      <c r="BF4" s="17" t="e" vm="1">
        <f>'Students-heatmap'!H64</f>
        <v>#VALUE!</v>
      </c>
      <c r="BG4" s="17" t="e" vm="1">
        <f>'Students-heatmap'!I64</f>
        <v>#VALUE!</v>
      </c>
      <c r="BH4" s="17" t="e" vm="1">
        <f>'Students-heatmap'!J64</f>
        <v>#VALUE!</v>
      </c>
      <c r="BI4" s="17" t="e" vm="1">
        <f>'Students-heatmap'!K64</f>
        <v>#VALUE!</v>
      </c>
      <c r="BJ4" s="17" t="e" vm="1">
        <f>'Students-heatmap'!L64</f>
        <v>#VALUE!</v>
      </c>
      <c r="BK4" s="17" t="e" vm="1">
        <f>'Students-heatmap'!M64</f>
        <v>#VALUE!</v>
      </c>
      <c r="BL4" s="17" t="e" vm="1">
        <f>'Students-heatmap'!N64</f>
        <v>#VALUE!</v>
      </c>
      <c r="BM4" s="19"/>
      <c r="BN4" s="19"/>
      <c r="BO4" s="19"/>
      <c r="BP4" s="19"/>
      <c r="BQ4" s="19"/>
      <c r="BR4" s="19"/>
      <c r="BS4" s="19"/>
      <c r="BT4" s="19"/>
      <c r="BU4" s="19"/>
      <c r="BV4" s="19"/>
    </row>
    <row r="5" spans="1:74" ht="18.75" customHeight="1" x14ac:dyDescent="0.25">
      <c r="A5" s="12"/>
      <c r="B5" s="12"/>
      <c r="C5" s="12"/>
      <c r="D5" s="12"/>
      <c r="E5" s="12"/>
      <c r="F5" s="14"/>
      <c r="G5" s="19"/>
      <c r="H5" s="19"/>
      <c r="I5" s="17" t="e" vm="1">
        <f>'Students-heatmap'!G5</f>
        <v>#VALUE!</v>
      </c>
      <c r="J5" s="17" t="e" vm="1">
        <f>'Students-heatmap'!H5</f>
        <v>#VALUE!</v>
      </c>
      <c r="K5" s="17" t="e" vm="1">
        <f>'Students-heatmap'!I5</f>
        <v>#VALUE!</v>
      </c>
      <c r="L5" s="17" t="e" vm="1">
        <f>'Students-heatmap'!J5</f>
        <v>#VALUE!</v>
      </c>
      <c r="M5" s="17" t="e" vm="1">
        <f>'Students-heatmap'!K5</f>
        <v>#VALUE!</v>
      </c>
      <c r="N5" s="17" t="e" vm="1">
        <f>'Students-heatmap'!L5</f>
        <v>#VALUE!</v>
      </c>
      <c r="O5" s="17" t="e" vm="1">
        <f>'Students-heatmap'!M5</f>
        <v>#VALUE!</v>
      </c>
      <c r="P5" s="17" t="e" vm="1">
        <f>'Students-heatmap'!N5</f>
        <v>#VALUE!</v>
      </c>
      <c r="Q5" s="14"/>
      <c r="R5" s="14"/>
      <c r="S5" s="14"/>
      <c r="T5" s="14"/>
      <c r="U5" s="17" t="e" vm="1">
        <f>'Students-heatmap'!G77</f>
        <v>#VALUE!</v>
      </c>
      <c r="V5" s="17" t="e" vm="1">
        <f>'Students-heatmap'!H77</f>
        <v>#VALUE!</v>
      </c>
      <c r="W5" s="17" t="e" vm="1">
        <f>'Students-heatmap'!I77</f>
        <v>#VALUE!</v>
      </c>
      <c r="X5" s="17" t="e" vm="1">
        <f>'Students-heatmap'!J77</f>
        <v>#VALUE!</v>
      </c>
      <c r="Y5" s="17" t="e" vm="1">
        <f>'Students-heatmap'!K77</f>
        <v>#VALUE!</v>
      </c>
      <c r="Z5" s="17" t="e" vm="1">
        <f>'Students-heatmap'!L77</f>
        <v>#VALUE!</v>
      </c>
      <c r="AA5" s="17" t="e" vm="1">
        <f>'Students-heatmap'!M77</f>
        <v>#VALUE!</v>
      </c>
      <c r="AB5" s="17" t="e" vm="1">
        <f>'Students-heatmap'!N77</f>
        <v>#VALUE!</v>
      </c>
      <c r="AC5" s="14"/>
      <c r="AD5" s="14"/>
      <c r="AE5" s="14"/>
      <c r="AF5" s="14"/>
      <c r="AG5" s="17" t="e" vm="1">
        <f>'Students-heatmap'!G17</f>
        <v>#VALUE!</v>
      </c>
      <c r="AH5" s="17" t="e" vm="1">
        <f>'Students-heatmap'!H17</f>
        <v>#VALUE!</v>
      </c>
      <c r="AI5" s="17" t="e" vm="1">
        <f>'Students-heatmap'!I17</f>
        <v>#VALUE!</v>
      </c>
      <c r="AJ5" s="17" t="e" vm="1">
        <f>'Students-heatmap'!J17</f>
        <v>#VALUE!</v>
      </c>
      <c r="AK5" s="17" t="e" vm="1">
        <f>'Students-heatmap'!K17</f>
        <v>#VALUE!</v>
      </c>
      <c r="AL5" s="17" t="e" vm="1">
        <f>'Students-heatmap'!L17</f>
        <v>#VALUE!</v>
      </c>
      <c r="AM5" s="17" t="e" vm="1">
        <f>'Students-heatmap'!M17</f>
        <v>#VALUE!</v>
      </c>
      <c r="AN5" s="17" t="e" vm="1">
        <f>'Students-heatmap'!N17</f>
        <v>#VALUE!</v>
      </c>
      <c r="AO5" s="14"/>
      <c r="AP5" s="14"/>
      <c r="AQ5" s="14"/>
      <c r="AR5" s="14"/>
      <c r="AS5" s="17" t="e" vm="1">
        <f>'Students-heatmap'!G89</f>
        <v>#VALUE!</v>
      </c>
      <c r="AT5" s="17" t="e" vm="1">
        <f>'Students-heatmap'!H89</f>
        <v>#VALUE!</v>
      </c>
      <c r="AU5" s="17" t="e" vm="1">
        <f>'Students-heatmap'!I89</f>
        <v>#VALUE!</v>
      </c>
      <c r="AV5" s="17" t="e" vm="1">
        <f>'Students-heatmap'!J89</f>
        <v>#VALUE!</v>
      </c>
      <c r="AW5" s="17" t="e" vm="1">
        <f>'Students-heatmap'!K89</f>
        <v>#VALUE!</v>
      </c>
      <c r="AX5" s="17" t="e" vm="1">
        <f>'Students-heatmap'!L89</f>
        <v>#VALUE!</v>
      </c>
      <c r="AY5" s="17" t="e" vm="1">
        <f>'Students-heatmap'!M89</f>
        <v>#VALUE!</v>
      </c>
      <c r="AZ5" s="17" t="e" vm="1">
        <f>'Students-heatmap'!N89</f>
        <v>#VALUE!</v>
      </c>
      <c r="BA5" s="19"/>
      <c r="BB5" s="19"/>
      <c r="BC5" s="19"/>
      <c r="BD5" s="19"/>
      <c r="BE5" s="17" t="e" vm="1">
        <f>'Students-heatmap'!G65</f>
        <v>#VALUE!</v>
      </c>
      <c r="BF5" s="17" t="e" vm="1">
        <f>'Students-heatmap'!H65</f>
        <v>#VALUE!</v>
      </c>
      <c r="BG5" s="17" t="e" vm="1">
        <f>'Students-heatmap'!I65</f>
        <v>#VALUE!</v>
      </c>
      <c r="BH5" s="17" t="e" vm="1">
        <f>'Students-heatmap'!J65</f>
        <v>#VALUE!</v>
      </c>
      <c r="BI5" s="17" t="e" vm="1">
        <f>'Students-heatmap'!K65</f>
        <v>#VALUE!</v>
      </c>
      <c r="BJ5" s="17" t="e" vm="1">
        <f>'Students-heatmap'!L65</f>
        <v>#VALUE!</v>
      </c>
      <c r="BK5" s="17" t="e" vm="1">
        <f>'Students-heatmap'!M65</f>
        <v>#VALUE!</v>
      </c>
      <c r="BL5" s="17" t="e" vm="1">
        <f>'Students-heatmap'!N65</f>
        <v>#VALUE!</v>
      </c>
      <c r="BM5" s="19"/>
      <c r="BN5" s="19"/>
      <c r="BO5" s="19"/>
      <c r="BP5" s="19"/>
      <c r="BQ5" s="19"/>
      <c r="BR5" s="19"/>
      <c r="BS5" s="19"/>
      <c r="BT5" s="19"/>
      <c r="BU5" s="19"/>
      <c r="BV5" s="19"/>
    </row>
    <row r="6" spans="1:74" ht="18.75" customHeight="1" x14ac:dyDescent="0.25">
      <c r="A6" s="12"/>
      <c r="B6" s="12"/>
      <c r="C6" s="12"/>
      <c r="D6" t="s">
        <v>3</v>
      </c>
      <c r="E6" s="12"/>
      <c r="F6" s="14"/>
      <c r="G6" s="19"/>
      <c r="H6" s="19"/>
      <c r="I6" s="17" t="e" vm="1">
        <f>'Students-heatmap'!G6</f>
        <v>#VALUE!</v>
      </c>
      <c r="J6" s="17" t="e" vm="1">
        <f>'Students-heatmap'!H6</f>
        <v>#VALUE!</v>
      </c>
      <c r="K6" s="17" t="e" vm="1">
        <f>'Students-heatmap'!I6</f>
        <v>#VALUE!</v>
      </c>
      <c r="L6" s="17" t="e" vm="1">
        <f>'Students-heatmap'!J6</f>
        <v>#VALUE!</v>
      </c>
      <c r="M6" s="17" t="e" vm="1">
        <f>'Students-heatmap'!K6</f>
        <v>#VALUE!</v>
      </c>
      <c r="N6" s="17" t="e" vm="1">
        <f>'Students-heatmap'!L6</f>
        <v>#VALUE!</v>
      </c>
      <c r="O6" s="17" t="e" vm="1">
        <f>'Students-heatmap'!M6</f>
        <v>#VALUE!</v>
      </c>
      <c r="P6" s="17" t="e" vm="1">
        <f>'Students-heatmap'!N6</f>
        <v>#VALUE!</v>
      </c>
      <c r="Q6" s="14"/>
      <c r="R6" s="14"/>
      <c r="S6" s="14"/>
      <c r="T6" s="14"/>
      <c r="U6" s="17" t="e" vm="1">
        <f>'Students-heatmap'!G78</f>
        <v>#VALUE!</v>
      </c>
      <c r="V6" s="17" t="e" vm="1">
        <f>'Students-heatmap'!H78</f>
        <v>#VALUE!</v>
      </c>
      <c r="W6" s="17" t="e" vm="1">
        <f>'Students-heatmap'!I78</f>
        <v>#VALUE!</v>
      </c>
      <c r="X6" s="17" t="e" vm="1">
        <f>'Students-heatmap'!J78</f>
        <v>#VALUE!</v>
      </c>
      <c r="Y6" s="17" t="e" vm="1">
        <f>'Students-heatmap'!K78</f>
        <v>#VALUE!</v>
      </c>
      <c r="Z6" s="17" t="e" vm="1">
        <f>'Students-heatmap'!L78</f>
        <v>#VALUE!</v>
      </c>
      <c r="AA6" s="17" t="e" vm="1">
        <f>'Students-heatmap'!M78</f>
        <v>#VALUE!</v>
      </c>
      <c r="AB6" s="17" t="e" vm="1">
        <f>'Students-heatmap'!N78</f>
        <v>#VALUE!</v>
      </c>
      <c r="AC6" s="14"/>
      <c r="AD6" s="14"/>
      <c r="AE6" s="14"/>
      <c r="AF6" s="14"/>
      <c r="AG6" s="17" t="e" vm="1">
        <f>'Students-heatmap'!G18</f>
        <v>#VALUE!</v>
      </c>
      <c r="AH6" s="17" t="e" vm="1">
        <f>'Students-heatmap'!H18</f>
        <v>#VALUE!</v>
      </c>
      <c r="AI6" s="17" t="e" vm="1">
        <f>'Students-heatmap'!I18</f>
        <v>#VALUE!</v>
      </c>
      <c r="AJ6" s="17" t="e" vm="1">
        <f>'Students-heatmap'!J18</f>
        <v>#VALUE!</v>
      </c>
      <c r="AK6" s="17" t="e" vm="1">
        <f>'Students-heatmap'!K18</f>
        <v>#VALUE!</v>
      </c>
      <c r="AL6" s="17" t="e" vm="1">
        <f>'Students-heatmap'!L18</f>
        <v>#VALUE!</v>
      </c>
      <c r="AM6" s="17" t="e" vm="1">
        <f>'Students-heatmap'!M18</f>
        <v>#VALUE!</v>
      </c>
      <c r="AN6" s="17" t="e" vm="1">
        <f>'Students-heatmap'!N18</f>
        <v>#VALUE!</v>
      </c>
      <c r="AO6" s="14"/>
      <c r="AP6" s="14"/>
      <c r="AQ6" s="14"/>
      <c r="AR6" s="14"/>
      <c r="AS6" s="17" t="e" vm="1">
        <f>'Students-heatmap'!G90</f>
        <v>#VALUE!</v>
      </c>
      <c r="AT6" s="17" t="e" vm="1">
        <f>'Students-heatmap'!H90</f>
        <v>#VALUE!</v>
      </c>
      <c r="AU6" s="17" t="e" vm="1">
        <f>'Students-heatmap'!I90</f>
        <v>#VALUE!</v>
      </c>
      <c r="AV6" s="17" t="e" vm="1">
        <f>'Students-heatmap'!J90</f>
        <v>#VALUE!</v>
      </c>
      <c r="AW6" s="17" t="e" vm="1">
        <f>'Students-heatmap'!K90</f>
        <v>#VALUE!</v>
      </c>
      <c r="AX6" s="17" t="e" vm="1">
        <f>'Students-heatmap'!L90</f>
        <v>#VALUE!</v>
      </c>
      <c r="AY6" s="17" t="e" vm="1">
        <f>'Students-heatmap'!M90</f>
        <v>#VALUE!</v>
      </c>
      <c r="AZ6" s="17" t="e" vm="1">
        <f>'Students-heatmap'!N90</f>
        <v>#VALUE!</v>
      </c>
      <c r="BA6" s="19"/>
      <c r="BB6" s="19"/>
      <c r="BC6" s="19"/>
      <c r="BD6" s="19"/>
      <c r="BE6" s="17" t="e" vm="1">
        <f>'Students-heatmap'!G66</f>
        <v>#VALUE!</v>
      </c>
      <c r="BF6" s="17" t="e" vm="1">
        <f>'Students-heatmap'!H66</f>
        <v>#VALUE!</v>
      </c>
      <c r="BG6" s="17" t="e" vm="1">
        <f>'Students-heatmap'!I66</f>
        <v>#VALUE!</v>
      </c>
      <c r="BH6" s="17" t="e" vm="1">
        <f>'Students-heatmap'!J66</f>
        <v>#VALUE!</v>
      </c>
      <c r="BI6" s="17" t="e" vm="1">
        <f>'Students-heatmap'!K66</f>
        <v>#VALUE!</v>
      </c>
      <c r="BJ6" s="17" t="e" vm="1">
        <f>'Students-heatmap'!L66</f>
        <v>#VALUE!</v>
      </c>
      <c r="BK6" s="17" t="e" vm="1">
        <f>'Students-heatmap'!M66</f>
        <v>#VALUE!</v>
      </c>
      <c r="BL6" s="17" t="e" vm="1">
        <f>'Students-heatmap'!N66</f>
        <v>#VALUE!</v>
      </c>
      <c r="BM6" s="19"/>
      <c r="BN6" s="19"/>
      <c r="BO6" s="19"/>
      <c r="BP6" s="19"/>
      <c r="BQ6" s="19"/>
      <c r="BR6" s="19"/>
      <c r="BS6" s="19"/>
      <c r="BT6" s="19"/>
      <c r="BU6" s="19"/>
      <c r="BV6" s="19"/>
    </row>
    <row r="7" spans="1:74" ht="18.75" customHeight="1" x14ac:dyDescent="0.3">
      <c r="A7" s="12"/>
      <c r="B7" s="13" t="s">
        <v>3</v>
      </c>
      <c r="C7" s="12"/>
      <c r="D7" s="23">
        <v>0</v>
      </c>
      <c r="E7" s="12"/>
      <c r="F7" s="14"/>
      <c r="G7" s="19"/>
      <c r="H7" s="19"/>
      <c r="I7" s="17" t="e" vm="1">
        <f>'Students-heatmap'!G7</f>
        <v>#VALUE!</v>
      </c>
      <c r="J7" s="17" t="e" vm="1">
        <f>'Students-heatmap'!H7</f>
        <v>#VALUE!</v>
      </c>
      <c r="K7" s="17" t="e" vm="1">
        <f>'Students-heatmap'!I7</f>
        <v>#VALUE!</v>
      </c>
      <c r="L7" s="17" t="e" vm="1">
        <f>'Students-heatmap'!J7</f>
        <v>#VALUE!</v>
      </c>
      <c r="M7" s="17" t="e" vm="1">
        <f>'Students-heatmap'!K7</f>
        <v>#VALUE!</v>
      </c>
      <c r="N7" s="17" t="e" vm="1">
        <f>'Students-heatmap'!L7</f>
        <v>#VALUE!</v>
      </c>
      <c r="O7" s="17" t="e" vm="1">
        <f>'Students-heatmap'!M7</f>
        <v>#VALUE!</v>
      </c>
      <c r="P7" s="17" t="e" vm="1">
        <f>'Students-heatmap'!N7</f>
        <v>#VALUE!</v>
      </c>
      <c r="Q7" s="14"/>
      <c r="R7" s="14"/>
      <c r="S7" s="14"/>
      <c r="T7" s="14"/>
      <c r="U7" s="17" t="e" vm="1">
        <f>'Students-heatmap'!G79</f>
        <v>#VALUE!</v>
      </c>
      <c r="V7" s="17" t="e" vm="1">
        <f>'Students-heatmap'!H79</f>
        <v>#VALUE!</v>
      </c>
      <c r="W7" s="17" t="e" vm="1">
        <f>'Students-heatmap'!I79</f>
        <v>#VALUE!</v>
      </c>
      <c r="X7" s="17" t="e" vm="1">
        <f>'Students-heatmap'!J79</f>
        <v>#VALUE!</v>
      </c>
      <c r="Y7" s="17" t="e" vm="1">
        <f>'Students-heatmap'!K79</f>
        <v>#VALUE!</v>
      </c>
      <c r="Z7" s="17" t="e" vm="1">
        <f>'Students-heatmap'!L79</f>
        <v>#VALUE!</v>
      </c>
      <c r="AA7" s="17" t="e" vm="1">
        <f>'Students-heatmap'!M79</f>
        <v>#VALUE!</v>
      </c>
      <c r="AB7" s="17" t="e" vm="1">
        <f>'Students-heatmap'!N79</f>
        <v>#VALUE!</v>
      </c>
      <c r="AC7" s="14"/>
      <c r="AD7" s="14"/>
      <c r="AE7" s="14"/>
      <c r="AF7" s="14"/>
      <c r="AG7" s="17" t="e" vm="1">
        <f>'Students-heatmap'!G19</f>
        <v>#VALUE!</v>
      </c>
      <c r="AH7" s="17" t="e" vm="1">
        <f>'Students-heatmap'!H19</f>
        <v>#VALUE!</v>
      </c>
      <c r="AI7" s="17" t="e" vm="1">
        <f>'Students-heatmap'!I19</f>
        <v>#VALUE!</v>
      </c>
      <c r="AJ7" s="17" t="e" vm="1">
        <f>'Students-heatmap'!J19</f>
        <v>#VALUE!</v>
      </c>
      <c r="AK7" s="17" t="e" vm="1">
        <f>'Students-heatmap'!K19</f>
        <v>#VALUE!</v>
      </c>
      <c r="AL7" s="17" t="e" vm="1">
        <f>'Students-heatmap'!L19</f>
        <v>#VALUE!</v>
      </c>
      <c r="AM7" s="17" t="e" vm="1">
        <f>'Students-heatmap'!M19</f>
        <v>#VALUE!</v>
      </c>
      <c r="AN7" s="17" t="e" vm="1">
        <f>'Students-heatmap'!N19</f>
        <v>#VALUE!</v>
      </c>
      <c r="AO7" s="14"/>
      <c r="AP7" s="14"/>
      <c r="AQ7" s="14"/>
      <c r="AR7" s="14"/>
      <c r="AS7" s="17" t="e" vm="1">
        <f>'Students-heatmap'!G91</f>
        <v>#VALUE!</v>
      </c>
      <c r="AT7" s="17" t="e" vm="1">
        <f>'Students-heatmap'!H91</f>
        <v>#VALUE!</v>
      </c>
      <c r="AU7" s="17" t="e" vm="1">
        <f>'Students-heatmap'!I91</f>
        <v>#VALUE!</v>
      </c>
      <c r="AV7" s="17" t="e" vm="1">
        <f>'Students-heatmap'!J91</f>
        <v>#VALUE!</v>
      </c>
      <c r="AW7" s="17" t="e" vm="1">
        <f>'Students-heatmap'!K91</f>
        <v>#VALUE!</v>
      </c>
      <c r="AX7" s="17" t="e" vm="1">
        <f>'Students-heatmap'!L91</f>
        <v>#VALUE!</v>
      </c>
      <c r="AY7" s="17" t="e" vm="1">
        <f>'Students-heatmap'!M91</f>
        <v>#VALUE!</v>
      </c>
      <c r="AZ7" s="17" t="e" vm="1">
        <f>'Students-heatmap'!N91</f>
        <v>#VALUE!</v>
      </c>
      <c r="BA7" s="19"/>
      <c r="BB7" s="19"/>
      <c r="BC7" s="19"/>
      <c r="BD7" s="19"/>
      <c r="BE7" s="17" t="e" vm="1">
        <f>'Students-heatmap'!G67</f>
        <v>#VALUE!</v>
      </c>
      <c r="BF7" s="17" t="e" vm="1">
        <f>'Students-heatmap'!H67</f>
        <v>#VALUE!</v>
      </c>
      <c r="BG7" s="17" t="e" vm="1">
        <f>'Students-heatmap'!I67</f>
        <v>#VALUE!</v>
      </c>
      <c r="BH7" s="17" t="e" vm="1">
        <f>'Students-heatmap'!J67</f>
        <v>#VALUE!</v>
      </c>
      <c r="BI7" s="17" t="e" vm="1">
        <f>'Students-heatmap'!K67</f>
        <v>#VALUE!</v>
      </c>
      <c r="BJ7" s="17" t="e" vm="1">
        <f>'Students-heatmap'!L67</f>
        <v>#VALUE!</v>
      </c>
      <c r="BK7" s="17" t="e" vm="1">
        <f>'Students-heatmap'!M67</f>
        <v>#VALUE!</v>
      </c>
      <c r="BL7" s="17" t="e" vm="1">
        <f>'Students-heatmap'!N67</f>
        <v>#VALUE!</v>
      </c>
      <c r="BM7" s="19"/>
      <c r="BN7" s="19"/>
      <c r="BO7" s="19"/>
      <c r="BP7" s="19"/>
      <c r="BQ7" s="19"/>
      <c r="BR7" s="19"/>
      <c r="BS7" s="19"/>
      <c r="BT7" s="19"/>
      <c r="BU7" s="19"/>
      <c r="BV7" s="19"/>
    </row>
    <row r="8" spans="1:74" ht="18.75" customHeight="1" x14ac:dyDescent="0.3">
      <c r="A8" s="12"/>
      <c r="B8" s="24" t="e" vm="2">
        <f>_xlfn.XLOOKUP(B7,'All-report'!$E$2:$E$10,'All-report'!$H$2:$H$10)</f>
        <v>#VALUE!</v>
      </c>
      <c r="C8" s="24"/>
      <c r="D8" t="s">
        <v>4</v>
      </c>
      <c r="E8" s="12"/>
      <c r="F8" s="14"/>
      <c r="G8" s="19"/>
      <c r="H8" s="19"/>
      <c r="I8" s="17" t="e" vm="1">
        <f>'Students-heatmap'!G8</f>
        <v>#VALUE!</v>
      </c>
      <c r="J8" s="17" t="e" vm="1">
        <f>'Students-heatmap'!H8</f>
        <v>#VALUE!</v>
      </c>
      <c r="K8" s="17" t="e" vm="1">
        <f>'Students-heatmap'!I8</f>
        <v>#VALUE!</v>
      </c>
      <c r="L8" s="17" t="e" vm="1">
        <f>'Students-heatmap'!J8</f>
        <v>#VALUE!</v>
      </c>
      <c r="M8" s="17" t="e" vm="1">
        <f>'Students-heatmap'!K8</f>
        <v>#VALUE!</v>
      </c>
      <c r="N8" s="17" t="e" vm="1">
        <f>'Students-heatmap'!L8</f>
        <v>#VALUE!</v>
      </c>
      <c r="O8" s="17" t="e" vm="1">
        <f>'Students-heatmap'!M8</f>
        <v>#VALUE!</v>
      </c>
      <c r="P8" s="17" t="e" vm="1">
        <f>'Students-heatmap'!N8</f>
        <v>#VALUE!</v>
      </c>
      <c r="Q8" s="14"/>
      <c r="R8" s="14"/>
      <c r="S8" s="14"/>
      <c r="T8" s="14"/>
      <c r="U8" s="17" t="e" vm="1">
        <f>'Students-heatmap'!G80</f>
        <v>#VALUE!</v>
      </c>
      <c r="V8" s="17" t="e" vm="1">
        <f>'Students-heatmap'!H80</f>
        <v>#VALUE!</v>
      </c>
      <c r="W8" s="17" t="e" vm="1">
        <f>'Students-heatmap'!I80</f>
        <v>#VALUE!</v>
      </c>
      <c r="X8" s="17" t="e" vm="1">
        <f>'Students-heatmap'!J80</f>
        <v>#VALUE!</v>
      </c>
      <c r="Y8" s="17" t="e" vm="1">
        <f>'Students-heatmap'!K80</f>
        <v>#VALUE!</v>
      </c>
      <c r="Z8" s="17" t="e" vm="1">
        <f>'Students-heatmap'!L80</f>
        <v>#VALUE!</v>
      </c>
      <c r="AA8" s="17" t="e" vm="1">
        <f>'Students-heatmap'!M80</f>
        <v>#VALUE!</v>
      </c>
      <c r="AB8" s="17" t="e" vm="1">
        <f>'Students-heatmap'!N80</f>
        <v>#VALUE!</v>
      </c>
      <c r="AC8" s="14"/>
      <c r="AD8" s="14"/>
      <c r="AE8" s="14"/>
      <c r="AF8" s="14"/>
      <c r="AG8" s="17" t="e" vm="1">
        <f>'Students-heatmap'!G20</f>
        <v>#VALUE!</v>
      </c>
      <c r="AH8" s="17" t="e" vm="1">
        <f>'Students-heatmap'!H20</f>
        <v>#VALUE!</v>
      </c>
      <c r="AI8" s="17" t="e" vm="1">
        <f>'Students-heatmap'!I20</f>
        <v>#VALUE!</v>
      </c>
      <c r="AJ8" s="17" t="e" vm="1">
        <f>'Students-heatmap'!J20</f>
        <v>#VALUE!</v>
      </c>
      <c r="AK8" s="17" t="e" vm="1">
        <f>'Students-heatmap'!K20</f>
        <v>#VALUE!</v>
      </c>
      <c r="AL8" s="17" t="e" vm="1">
        <f>'Students-heatmap'!L20</f>
        <v>#VALUE!</v>
      </c>
      <c r="AM8" s="17" t="e" vm="1">
        <f>'Students-heatmap'!M20</f>
        <v>#VALUE!</v>
      </c>
      <c r="AN8" s="17" t="e" vm="1">
        <f>'Students-heatmap'!N20</f>
        <v>#VALUE!</v>
      </c>
      <c r="AO8" s="14"/>
      <c r="AP8" s="14"/>
      <c r="AQ8" s="14"/>
      <c r="AR8" s="14"/>
      <c r="AS8" s="17" t="e" vm="1">
        <f>'Students-heatmap'!G92</f>
        <v>#VALUE!</v>
      </c>
      <c r="AT8" s="17" t="e" vm="1">
        <f>'Students-heatmap'!H92</f>
        <v>#VALUE!</v>
      </c>
      <c r="AU8" s="17" t="e" vm="1">
        <f>'Students-heatmap'!I92</f>
        <v>#VALUE!</v>
      </c>
      <c r="AV8" s="17" t="e" vm="1">
        <f>'Students-heatmap'!J92</f>
        <v>#VALUE!</v>
      </c>
      <c r="AW8" s="17" t="e" vm="1">
        <f>'Students-heatmap'!K92</f>
        <v>#VALUE!</v>
      </c>
      <c r="AX8" s="17" t="e" vm="1">
        <f>'Students-heatmap'!L92</f>
        <v>#VALUE!</v>
      </c>
      <c r="AY8" s="17" t="e" vm="1">
        <f>'Students-heatmap'!M92</f>
        <v>#VALUE!</v>
      </c>
      <c r="AZ8" s="17" t="e" vm="1">
        <f>'Students-heatmap'!N92</f>
        <v>#VALUE!</v>
      </c>
      <c r="BA8" s="19"/>
      <c r="BB8" s="19"/>
      <c r="BC8" s="19"/>
      <c r="BD8" s="19"/>
      <c r="BE8" s="17" t="e" vm="1">
        <f>'Students-heatmap'!G68</f>
        <v>#VALUE!</v>
      </c>
      <c r="BF8" s="17" t="e" vm="1">
        <f>'Students-heatmap'!H68</f>
        <v>#VALUE!</v>
      </c>
      <c r="BG8" s="17" t="e" vm="1">
        <f>'Students-heatmap'!I68</f>
        <v>#VALUE!</v>
      </c>
      <c r="BH8" s="17" t="e" vm="1">
        <f>'Students-heatmap'!J68</f>
        <v>#VALUE!</v>
      </c>
      <c r="BI8" s="17" t="e" vm="1">
        <f>'Students-heatmap'!K68</f>
        <v>#VALUE!</v>
      </c>
      <c r="BJ8" s="17" t="e" vm="1">
        <f>'Students-heatmap'!L68</f>
        <v>#VALUE!</v>
      </c>
      <c r="BK8" s="17" t="e" vm="1">
        <f>'Students-heatmap'!M68</f>
        <v>#VALUE!</v>
      </c>
      <c r="BL8" s="17" t="e" vm="1">
        <f>'Students-heatmap'!N68</f>
        <v>#VALUE!</v>
      </c>
      <c r="BM8" s="19"/>
      <c r="BN8" s="19"/>
      <c r="BO8" s="19"/>
      <c r="BP8" s="19"/>
      <c r="BQ8" s="19"/>
      <c r="BR8" s="19"/>
      <c r="BS8" s="19"/>
      <c r="BT8" s="19"/>
      <c r="BU8" s="19"/>
      <c r="BV8" s="19"/>
    </row>
    <row r="9" spans="1:74" ht="18.75" customHeight="1" x14ac:dyDescent="0.3">
      <c r="A9" s="12"/>
      <c r="B9" s="13" t="s">
        <v>4</v>
      </c>
      <c r="C9" s="12"/>
      <c r="D9" s="23">
        <v>0</v>
      </c>
      <c r="E9" s="12"/>
      <c r="F9" s="14"/>
      <c r="G9" s="19"/>
      <c r="H9" s="19"/>
      <c r="I9" s="17" t="e" vm="1">
        <f>'Students-heatmap'!G9</f>
        <v>#VALUE!</v>
      </c>
      <c r="J9" s="17" t="e" vm="1">
        <f>'Students-heatmap'!H9</f>
        <v>#VALUE!</v>
      </c>
      <c r="K9" s="17" t="e" vm="1">
        <f>'Students-heatmap'!I9</f>
        <v>#VALUE!</v>
      </c>
      <c r="L9" s="17" t="e" vm="1">
        <f>'Students-heatmap'!J9</f>
        <v>#VALUE!</v>
      </c>
      <c r="M9" s="17" t="e" vm="1">
        <f>'Students-heatmap'!K9</f>
        <v>#VALUE!</v>
      </c>
      <c r="N9" s="17" t="e" vm="1">
        <f>'Students-heatmap'!L9</f>
        <v>#VALUE!</v>
      </c>
      <c r="O9" s="17" t="e" vm="1">
        <f>'Students-heatmap'!M9</f>
        <v>#VALUE!</v>
      </c>
      <c r="P9" s="17" t="e" vm="1">
        <f>'Students-heatmap'!N9</f>
        <v>#VALUE!</v>
      </c>
      <c r="Q9" s="14"/>
      <c r="R9" s="14"/>
      <c r="S9" s="14"/>
      <c r="T9" s="14"/>
      <c r="U9" s="17" t="e" vm="1">
        <f>'Students-heatmap'!G81</f>
        <v>#VALUE!</v>
      </c>
      <c r="V9" s="17" t="e" vm="1">
        <f>'Students-heatmap'!H81</f>
        <v>#VALUE!</v>
      </c>
      <c r="W9" s="17" t="e" vm="1">
        <f>'Students-heatmap'!I81</f>
        <v>#VALUE!</v>
      </c>
      <c r="X9" s="17" t="e" vm="1">
        <f>'Students-heatmap'!J81</f>
        <v>#VALUE!</v>
      </c>
      <c r="Y9" s="17" t="e" vm="1">
        <f>'Students-heatmap'!K81</f>
        <v>#VALUE!</v>
      </c>
      <c r="Z9" s="17" t="e" vm="1">
        <f>'Students-heatmap'!L81</f>
        <v>#VALUE!</v>
      </c>
      <c r="AA9" s="17" t="e" vm="1">
        <f>'Students-heatmap'!M81</f>
        <v>#VALUE!</v>
      </c>
      <c r="AB9" s="17" t="e" vm="1">
        <f>'Students-heatmap'!N81</f>
        <v>#VALUE!</v>
      </c>
      <c r="AC9" s="14"/>
      <c r="AD9" s="14"/>
      <c r="AE9" s="14"/>
      <c r="AF9" s="14"/>
      <c r="AG9" s="17" t="e" vm="1">
        <f>'Students-heatmap'!G21</f>
        <v>#VALUE!</v>
      </c>
      <c r="AH9" s="17" t="e" vm="1">
        <f>'Students-heatmap'!H21</f>
        <v>#VALUE!</v>
      </c>
      <c r="AI9" s="17" t="e" vm="1">
        <f>'Students-heatmap'!I21</f>
        <v>#VALUE!</v>
      </c>
      <c r="AJ9" s="17" t="e" vm="1">
        <f>'Students-heatmap'!J21</f>
        <v>#VALUE!</v>
      </c>
      <c r="AK9" s="17" t="e" vm="1">
        <f>'Students-heatmap'!K21</f>
        <v>#VALUE!</v>
      </c>
      <c r="AL9" s="17" t="e" vm="1">
        <f>'Students-heatmap'!L21</f>
        <v>#VALUE!</v>
      </c>
      <c r="AM9" s="17" t="e" vm="1">
        <f>'Students-heatmap'!M21</f>
        <v>#VALUE!</v>
      </c>
      <c r="AN9" s="17" t="e" vm="1">
        <f>'Students-heatmap'!N21</f>
        <v>#VALUE!</v>
      </c>
      <c r="AO9" s="14"/>
      <c r="AP9" s="14"/>
      <c r="AQ9" s="14"/>
      <c r="AR9" s="14"/>
      <c r="AS9" s="17" t="e" vm="1">
        <f>'Students-heatmap'!G93</f>
        <v>#VALUE!</v>
      </c>
      <c r="AT9" s="17" t="e" vm="1">
        <f>'Students-heatmap'!H93</f>
        <v>#VALUE!</v>
      </c>
      <c r="AU9" s="17" t="e" vm="1">
        <f>'Students-heatmap'!I93</f>
        <v>#VALUE!</v>
      </c>
      <c r="AV9" s="17" t="e" vm="1">
        <f>'Students-heatmap'!J93</f>
        <v>#VALUE!</v>
      </c>
      <c r="AW9" s="17" t="e" vm="1">
        <f>'Students-heatmap'!K93</f>
        <v>#VALUE!</v>
      </c>
      <c r="AX9" s="17" t="e" vm="1">
        <f>'Students-heatmap'!L93</f>
        <v>#VALUE!</v>
      </c>
      <c r="AY9" s="17" t="e" vm="1">
        <f>'Students-heatmap'!M93</f>
        <v>#VALUE!</v>
      </c>
      <c r="AZ9" s="17" t="e" vm="1">
        <f>'Students-heatmap'!N93</f>
        <v>#VALUE!</v>
      </c>
      <c r="BA9" s="19"/>
      <c r="BB9" s="19"/>
      <c r="BC9" s="19"/>
      <c r="BD9" s="19"/>
      <c r="BE9" s="17" t="e" vm="1">
        <f>'Students-heatmap'!G69</f>
        <v>#VALUE!</v>
      </c>
      <c r="BF9" s="17" t="e" vm="1">
        <f>'Students-heatmap'!H69</f>
        <v>#VALUE!</v>
      </c>
      <c r="BG9" s="17" t="e" vm="1">
        <f>'Students-heatmap'!I69</f>
        <v>#VALUE!</v>
      </c>
      <c r="BH9" s="17" t="e" vm="1">
        <f>'Students-heatmap'!J69</f>
        <v>#VALUE!</v>
      </c>
      <c r="BI9" s="17" t="e" vm="1">
        <f>'Students-heatmap'!K69</f>
        <v>#VALUE!</v>
      </c>
      <c r="BJ9" s="17" t="e" vm="1">
        <f>'Students-heatmap'!L69</f>
        <v>#VALUE!</v>
      </c>
      <c r="BK9" s="17" t="e" vm="1">
        <f>'Students-heatmap'!M69</f>
        <v>#VALUE!</v>
      </c>
      <c r="BL9" s="17" t="e" vm="1">
        <f>'Students-heatmap'!N69</f>
        <v>#VALUE!</v>
      </c>
      <c r="BM9" s="19"/>
      <c r="BN9" s="19"/>
      <c r="BO9" s="19"/>
      <c r="BP9" s="19"/>
      <c r="BQ9" s="19"/>
      <c r="BR9" s="19"/>
      <c r="BS9" s="19"/>
      <c r="BT9" s="19"/>
      <c r="BU9" s="19"/>
      <c r="BV9" s="19"/>
    </row>
    <row r="10" spans="1:74" ht="18.75" customHeight="1" x14ac:dyDescent="0.3">
      <c r="A10" s="12"/>
      <c r="B10" s="24" t="e" vm="2">
        <f>_xlfn.XLOOKUP(B9,'All-report'!$E$2:$E$10,'All-report'!$H$2:$H$10)</f>
        <v>#VALUE!</v>
      </c>
      <c r="C10" s="24"/>
      <c r="D10" t="s">
        <v>5</v>
      </c>
      <c r="E10" s="12"/>
      <c r="F10" s="14"/>
      <c r="G10" s="19"/>
      <c r="H10" s="19"/>
      <c r="I10" s="17" t="e" vm="1">
        <f>'Students-heatmap'!G10</f>
        <v>#VALUE!</v>
      </c>
      <c r="J10" s="17" t="e" vm="1">
        <f>'Students-heatmap'!H10</f>
        <v>#VALUE!</v>
      </c>
      <c r="K10" s="17" t="e" vm="1">
        <f>'Students-heatmap'!I10</f>
        <v>#VALUE!</v>
      </c>
      <c r="L10" s="17" t="e" vm="1">
        <f>'Students-heatmap'!J10</f>
        <v>#VALUE!</v>
      </c>
      <c r="M10" s="17" t="e" vm="1">
        <f>'Students-heatmap'!K10</f>
        <v>#VALUE!</v>
      </c>
      <c r="N10" s="17" t="e" vm="1">
        <f>'Students-heatmap'!L10</f>
        <v>#VALUE!</v>
      </c>
      <c r="O10" s="17" t="e" vm="1">
        <f>'Students-heatmap'!M10</f>
        <v>#VALUE!</v>
      </c>
      <c r="P10" s="17" t="e" vm="1">
        <f>'Students-heatmap'!N10</f>
        <v>#VALUE!</v>
      </c>
      <c r="Q10" s="14"/>
      <c r="R10" s="14"/>
      <c r="S10" s="14"/>
      <c r="T10" s="14"/>
      <c r="U10" s="17" t="e" vm="1">
        <f>'Students-heatmap'!G82</f>
        <v>#VALUE!</v>
      </c>
      <c r="V10" s="17" t="e" vm="1">
        <f>'Students-heatmap'!H82</f>
        <v>#VALUE!</v>
      </c>
      <c r="W10" s="17" t="e" vm="1">
        <f>'Students-heatmap'!I82</f>
        <v>#VALUE!</v>
      </c>
      <c r="X10" s="17" t="e" vm="1">
        <f>'Students-heatmap'!J82</f>
        <v>#VALUE!</v>
      </c>
      <c r="Y10" s="17" t="e" vm="1">
        <f>'Students-heatmap'!K82</f>
        <v>#VALUE!</v>
      </c>
      <c r="Z10" s="17" t="e" vm="1">
        <f>'Students-heatmap'!L82</f>
        <v>#VALUE!</v>
      </c>
      <c r="AA10" s="17" t="e" vm="1">
        <f>'Students-heatmap'!M82</f>
        <v>#VALUE!</v>
      </c>
      <c r="AB10" s="17" t="e" vm="1">
        <f>'Students-heatmap'!N82</f>
        <v>#VALUE!</v>
      </c>
      <c r="AC10" s="14"/>
      <c r="AD10" s="14"/>
      <c r="AE10" s="14"/>
      <c r="AF10" s="14"/>
      <c r="AG10" s="17" t="e" vm="1">
        <f>'Students-heatmap'!G22</f>
        <v>#VALUE!</v>
      </c>
      <c r="AH10" s="17" t="e" vm="1">
        <f>'Students-heatmap'!H22</f>
        <v>#VALUE!</v>
      </c>
      <c r="AI10" s="17" t="e" vm="1">
        <f>'Students-heatmap'!I22</f>
        <v>#VALUE!</v>
      </c>
      <c r="AJ10" s="17" t="e" vm="1">
        <f>'Students-heatmap'!J22</f>
        <v>#VALUE!</v>
      </c>
      <c r="AK10" s="17" t="e" vm="1">
        <f>'Students-heatmap'!K22</f>
        <v>#VALUE!</v>
      </c>
      <c r="AL10" s="17" t="e" vm="1">
        <f>'Students-heatmap'!L22</f>
        <v>#VALUE!</v>
      </c>
      <c r="AM10" s="17" t="e" vm="1">
        <f>'Students-heatmap'!M22</f>
        <v>#VALUE!</v>
      </c>
      <c r="AN10" s="17" t="e" vm="1">
        <f>'Students-heatmap'!N22</f>
        <v>#VALUE!</v>
      </c>
      <c r="AO10" s="14"/>
      <c r="AP10" s="14"/>
      <c r="AQ10" s="14"/>
      <c r="AR10" s="14"/>
      <c r="AS10" s="17" t="e" vm="1">
        <f>'Students-heatmap'!G94</f>
        <v>#VALUE!</v>
      </c>
      <c r="AT10" s="17" t="e" vm="1">
        <f>'Students-heatmap'!H94</f>
        <v>#VALUE!</v>
      </c>
      <c r="AU10" s="17" t="e" vm="1">
        <f>'Students-heatmap'!I94</f>
        <v>#VALUE!</v>
      </c>
      <c r="AV10" s="17" t="e" vm="1">
        <f>'Students-heatmap'!J94</f>
        <v>#VALUE!</v>
      </c>
      <c r="AW10" s="17" t="e" vm="1">
        <f>'Students-heatmap'!K94</f>
        <v>#VALUE!</v>
      </c>
      <c r="AX10" s="17" t="e" vm="1">
        <f>'Students-heatmap'!L94</f>
        <v>#VALUE!</v>
      </c>
      <c r="AY10" s="17" t="e" vm="1">
        <f>'Students-heatmap'!M94</f>
        <v>#VALUE!</v>
      </c>
      <c r="AZ10" s="17" t="e" vm="1">
        <f>'Students-heatmap'!N94</f>
        <v>#VALUE!</v>
      </c>
      <c r="BA10" s="19"/>
      <c r="BB10" s="19"/>
      <c r="BC10" s="19"/>
      <c r="BD10" s="19"/>
      <c r="BE10" s="17" t="e" vm="1">
        <f>'Students-heatmap'!G70</f>
        <v>#VALUE!</v>
      </c>
      <c r="BF10" s="17" t="e" vm="1">
        <f>'Students-heatmap'!H70</f>
        <v>#VALUE!</v>
      </c>
      <c r="BG10" s="17" t="e" vm="1">
        <f>'Students-heatmap'!I70</f>
        <v>#VALUE!</v>
      </c>
      <c r="BH10" s="17" t="e" vm="1">
        <f>'Students-heatmap'!J70</f>
        <v>#VALUE!</v>
      </c>
      <c r="BI10" s="17" t="e" vm="1">
        <f>'Students-heatmap'!K70</f>
        <v>#VALUE!</v>
      </c>
      <c r="BJ10" s="17" t="e" vm="1">
        <f>'Students-heatmap'!L70</f>
        <v>#VALUE!</v>
      </c>
      <c r="BK10" s="17" t="e" vm="1">
        <f>'Students-heatmap'!M70</f>
        <v>#VALUE!</v>
      </c>
      <c r="BL10" s="17" t="e" vm="1">
        <f>'Students-heatmap'!N70</f>
        <v>#VALUE!</v>
      </c>
      <c r="BM10" s="19"/>
      <c r="BN10" s="19"/>
      <c r="BO10" s="19"/>
      <c r="BP10" s="19"/>
      <c r="BQ10" s="19"/>
      <c r="BR10" s="19"/>
      <c r="BS10" s="19"/>
      <c r="BT10" s="19"/>
      <c r="BU10" s="19"/>
      <c r="BV10" s="19"/>
    </row>
    <row r="11" spans="1:74" ht="18.75" customHeight="1" x14ac:dyDescent="0.3">
      <c r="A11" s="12"/>
      <c r="B11" s="13" t="s">
        <v>5</v>
      </c>
      <c r="C11" s="12"/>
      <c r="D11" s="23">
        <v>0</v>
      </c>
      <c r="E11" s="12"/>
      <c r="F11" s="14"/>
      <c r="G11" s="19"/>
      <c r="H11" s="19"/>
      <c r="I11" s="17" t="e" vm="1">
        <f>'Students-heatmap'!G11</f>
        <v>#VALUE!</v>
      </c>
      <c r="J11" s="17" t="e" vm="1">
        <f>'Students-heatmap'!H11</f>
        <v>#VALUE!</v>
      </c>
      <c r="K11" s="17" t="e" vm="1">
        <f>'Students-heatmap'!I11</f>
        <v>#VALUE!</v>
      </c>
      <c r="L11" s="17" t="e" vm="1">
        <f>'Students-heatmap'!J11</f>
        <v>#VALUE!</v>
      </c>
      <c r="M11" s="17" t="e" vm="1">
        <f>'Students-heatmap'!K11</f>
        <v>#VALUE!</v>
      </c>
      <c r="N11" s="17" t="e" vm="1">
        <f>'Students-heatmap'!L11</f>
        <v>#VALUE!</v>
      </c>
      <c r="O11" s="17" t="e" vm="1">
        <f>'Students-heatmap'!M11</f>
        <v>#VALUE!</v>
      </c>
      <c r="P11" s="17" t="e" vm="1">
        <f>'Students-heatmap'!N11</f>
        <v>#VALUE!</v>
      </c>
      <c r="Q11" s="14"/>
      <c r="R11" s="14"/>
      <c r="S11" s="14"/>
      <c r="T11" s="14"/>
      <c r="U11" s="17" t="e" vm="1">
        <f>'Students-heatmap'!G83</f>
        <v>#VALUE!</v>
      </c>
      <c r="V11" s="17" t="e" vm="1">
        <f>'Students-heatmap'!H83</f>
        <v>#VALUE!</v>
      </c>
      <c r="W11" s="17" t="e" vm="1">
        <f>'Students-heatmap'!I83</f>
        <v>#VALUE!</v>
      </c>
      <c r="X11" s="17" t="e" vm="1">
        <f>'Students-heatmap'!J83</f>
        <v>#VALUE!</v>
      </c>
      <c r="Y11" s="17" t="e" vm="1">
        <f>'Students-heatmap'!K83</f>
        <v>#VALUE!</v>
      </c>
      <c r="Z11" s="17" t="e" vm="1">
        <f>'Students-heatmap'!L83</f>
        <v>#VALUE!</v>
      </c>
      <c r="AA11" s="17" t="e" vm="1">
        <f>'Students-heatmap'!M83</f>
        <v>#VALUE!</v>
      </c>
      <c r="AB11" s="17" t="e" vm="1">
        <f>'Students-heatmap'!N83</f>
        <v>#VALUE!</v>
      </c>
      <c r="AC11" s="14"/>
      <c r="AD11" s="14"/>
      <c r="AE11" s="14"/>
      <c r="AF11" s="14"/>
      <c r="AG11" s="17" t="e" vm="1">
        <f>'Students-heatmap'!G23</f>
        <v>#VALUE!</v>
      </c>
      <c r="AH11" s="17" t="e" vm="1">
        <f>'Students-heatmap'!H23</f>
        <v>#VALUE!</v>
      </c>
      <c r="AI11" s="17" t="e" vm="1">
        <f>'Students-heatmap'!I23</f>
        <v>#VALUE!</v>
      </c>
      <c r="AJ11" s="17" t="e" vm="1">
        <f>'Students-heatmap'!J23</f>
        <v>#VALUE!</v>
      </c>
      <c r="AK11" s="17" t="e" vm="1">
        <f>'Students-heatmap'!K23</f>
        <v>#VALUE!</v>
      </c>
      <c r="AL11" s="17" t="e" vm="1">
        <f>'Students-heatmap'!L23</f>
        <v>#VALUE!</v>
      </c>
      <c r="AM11" s="17" t="e" vm="1">
        <f>'Students-heatmap'!M23</f>
        <v>#VALUE!</v>
      </c>
      <c r="AN11" s="17" t="e" vm="1">
        <f>'Students-heatmap'!N23</f>
        <v>#VALUE!</v>
      </c>
      <c r="AO11" s="14"/>
      <c r="AP11" s="14"/>
      <c r="AQ11" s="14"/>
      <c r="AR11" s="14"/>
      <c r="AS11" s="17" t="e" vm="1">
        <f>'Students-heatmap'!G95</f>
        <v>#VALUE!</v>
      </c>
      <c r="AT11" s="17" t="e" vm="1">
        <f>'Students-heatmap'!H95</f>
        <v>#VALUE!</v>
      </c>
      <c r="AU11" s="17" t="e" vm="1">
        <f>'Students-heatmap'!I95</f>
        <v>#VALUE!</v>
      </c>
      <c r="AV11" s="17" t="e" vm="1">
        <f>'Students-heatmap'!J95</f>
        <v>#VALUE!</v>
      </c>
      <c r="AW11" s="17" t="e" vm="1">
        <f>'Students-heatmap'!K95</f>
        <v>#VALUE!</v>
      </c>
      <c r="AX11" s="17" t="e" vm="1">
        <f>'Students-heatmap'!L95</f>
        <v>#VALUE!</v>
      </c>
      <c r="AY11" s="17" t="e" vm="1">
        <f>'Students-heatmap'!M95</f>
        <v>#VALUE!</v>
      </c>
      <c r="AZ11" s="17" t="e" vm="1">
        <f>'Students-heatmap'!N95</f>
        <v>#VALUE!</v>
      </c>
      <c r="BA11" s="19"/>
      <c r="BB11" s="19"/>
      <c r="BC11" s="19"/>
      <c r="BD11" s="19"/>
      <c r="BE11" s="17" t="e" vm="1">
        <f>'Students-heatmap'!G71</f>
        <v>#VALUE!</v>
      </c>
      <c r="BF11" s="17" t="e" vm="1">
        <f>'Students-heatmap'!H71</f>
        <v>#VALUE!</v>
      </c>
      <c r="BG11" s="17" t="e" vm="1">
        <f>'Students-heatmap'!I71</f>
        <v>#VALUE!</v>
      </c>
      <c r="BH11" s="17" t="e" vm="1">
        <f>'Students-heatmap'!J71</f>
        <v>#VALUE!</v>
      </c>
      <c r="BI11" s="17" t="e" vm="1">
        <f>'Students-heatmap'!K71</f>
        <v>#VALUE!</v>
      </c>
      <c r="BJ11" s="17" t="e" vm="1">
        <f>'Students-heatmap'!L71</f>
        <v>#VALUE!</v>
      </c>
      <c r="BK11" s="17" t="e" vm="1">
        <f>'Students-heatmap'!M71</f>
        <v>#VALUE!</v>
      </c>
      <c r="BL11" s="17" t="e" vm="1">
        <f>'Students-heatmap'!N71</f>
        <v>#VALUE!</v>
      </c>
      <c r="BM11" s="19"/>
      <c r="BN11" s="19"/>
      <c r="BO11" s="19"/>
      <c r="BP11" s="19"/>
      <c r="BQ11" s="19"/>
      <c r="BR11" s="19"/>
      <c r="BS11" s="19"/>
      <c r="BT11" s="19"/>
      <c r="BU11" s="19"/>
      <c r="BV11" s="19"/>
    </row>
    <row r="12" spans="1:74" ht="18.75" customHeight="1" x14ac:dyDescent="0.3">
      <c r="A12" s="12"/>
      <c r="B12" s="24" t="e" vm="2">
        <f>_xlfn.XLOOKUP(B11,'All-report'!$E$2:$E$10,'All-report'!$H$2:$H$10)</f>
        <v>#VALUE!</v>
      </c>
      <c r="C12" s="24"/>
      <c r="D12" t="s">
        <v>9</v>
      </c>
      <c r="E12" s="12"/>
      <c r="F12" s="14"/>
      <c r="G12" s="19"/>
      <c r="H12" s="19"/>
      <c r="I12" s="17" t="e" vm="1">
        <f>'Students-heatmap'!G12</f>
        <v>#VALUE!</v>
      </c>
      <c r="J12" s="17" t="e" vm="1">
        <f>'Students-heatmap'!H12</f>
        <v>#VALUE!</v>
      </c>
      <c r="K12" s="17" t="e" vm="1">
        <f>'Students-heatmap'!I12</f>
        <v>#VALUE!</v>
      </c>
      <c r="L12" s="17" t="e" vm="1">
        <f>'Students-heatmap'!J12</f>
        <v>#VALUE!</v>
      </c>
      <c r="M12" s="17" t="e" vm="1">
        <f>'Students-heatmap'!K12</f>
        <v>#VALUE!</v>
      </c>
      <c r="N12" s="17" t="e" vm="1">
        <f>'Students-heatmap'!L12</f>
        <v>#VALUE!</v>
      </c>
      <c r="O12" s="17" t="e" vm="1">
        <f>'Students-heatmap'!M12</f>
        <v>#VALUE!</v>
      </c>
      <c r="P12" s="17" t="e" vm="1">
        <f>'Students-heatmap'!N12</f>
        <v>#VALUE!</v>
      </c>
      <c r="Q12" s="14"/>
      <c r="R12" s="14"/>
      <c r="S12" s="14"/>
      <c r="T12" s="14"/>
      <c r="U12" s="17" t="e" vm="1">
        <f>'Students-heatmap'!G84</f>
        <v>#VALUE!</v>
      </c>
      <c r="V12" s="17" t="e" vm="1">
        <f>'Students-heatmap'!H84</f>
        <v>#VALUE!</v>
      </c>
      <c r="W12" s="17" t="e" vm="1">
        <f>'Students-heatmap'!I84</f>
        <v>#VALUE!</v>
      </c>
      <c r="X12" s="17" t="e" vm="1">
        <f>'Students-heatmap'!J84</f>
        <v>#VALUE!</v>
      </c>
      <c r="Y12" s="17" t="e" vm="1">
        <f>'Students-heatmap'!K84</f>
        <v>#VALUE!</v>
      </c>
      <c r="Z12" s="17" t="e" vm="1">
        <f>'Students-heatmap'!L84</f>
        <v>#VALUE!</v>
      </c>
      <c r="AA12" s="17" t="e" vm="1">
        <f>'Students-heatmap'!M84</f>
        <v>#VALUE!</v>
      </c>
      <c r="AB12" s="17" t="e" vm="1">
        <f>'Students-heatmap'!N84</f>
        <v>#VALUE!</v>
      </c>
      <c r="AC12" s="14"/>
      <c r="AD12" s="14"/>
      <c r="AE12" s="14"/>
      <c r="AF12" s="14"/>
      <c r="AG12" s="17" t="e" vm="1">
        <f>'Students-heatmap'!G24</f>
        <v>#VALUE!</v>
      </c>
      <c r="AH12" s="17" t="e" vm="1">
        <f>'Students-heatmap'!H24</f>
        <v>#VALUE!</v>
      </c>
      <c r="AI12" s="17" t="e" vm="1">
        <f>'Students-heatmap'!I24</f>
        <v>#VALUE!</v>
      </c>
      <c r="AJ12" s="17" t="e" vm="1">
        <f>'Students-heatmap'!J24</f>
        <v>#VALUE!</v>
      </c>
      <c r="AK12" s="17" t="e" vm="1">
        <f>'Students-heatmap'!K24</f>
        <v>#VALUE!</v>
      </c>
      <c r="AL12" s="17" t="e" vm="1">
        <f>'Students-heatmap'!L24</f>
        <v>#VALUE!</v>
      </c>
      <c r="AM12" s="17" t="e" vm="1">
        <f>'Students-heatmap'!M24</f>
        <v>#VALUE!</v>
      </c>
      <c r="AN12" s="17" t="e" vm="1">
        <f>'Students-heatmap'!N24</f>
        <v>#VALUE!</v>
      </c>
      <c r="AO12" s="14"/>
      <c r="AP12" s="14"/>
      <c r="AQ12" s="14"/>
      <c r="AR12" s="14"/>
      <c r="AS12" s="17" t="e" vm="1">
        <f>'Students-heatmap'!G96</f>
        <v>#VALUE!</v>
      </c>
      <c r="AT12" s="17" t="e" vm="1">
        <f>'Students-heatmap'!H96</f>
        <v>#VALUE!</v>
      </c>
      <c r="AU12" s="17" t="e" vm="1">
        <f>'Students-heatmap'!I96</f>
        <v>#VALUE!</v>
      </c>
      <c r="AV12" s="17" t="e" vm="1">
        <f>'Students-heatmap'!J96</f>
        <v>#VALUE!</v>
      </c>
      <c r="AW12" s="17" t="e" vm="1">
        <f>'Students-heatmap'!K96</f>
        <v>#VALUE!</v>
      </c>
      <c r="AX12" s="17" t="e" vm="1">
        <f>'Students-heatmap'!L96</f>
        <v>#VALUE!</v>
      </c>
      <c r="AY12" s="17" t="e" vm="1">
        <f>'Students-heatmap'!M96</f>
        <v>#VALUE!</v>
      </c>
      <c r="AZ12" s="17" t="e" vm="1">
        <f>'Students-heatmap'!N96</f>
        <v>#VALUE!</v>
      </c>
      <c r="BA12" s="19"/>
      <c r="BB12" s="19"/>
      <c r="BC12" s="19"/>
      <c r="BD12" s="19"/>
      <c r="BE12" s="11" t="e" vm="1">
        <f>'Students-heatmap'!G72</f>
        <v>#VALUE!</v>
      </c>
      <c r="BF12" s="11" t="e" vm="1">
        <f>'Students-heatmap'!H72</f>
        <v>#VALUE!</v>
      </c>
      <c r="BG12" s="11" t="e" vm="1">
        <f>'Students-heatmap'!I72</f>
        <v>#VALUE!</v>
      </c>
      <c r="BH12" s="11" t="e" vm="1">
        <f>'Students-heatmap'!J72</f>
        <v>#VALUE!</v>
      </c>
      <c r="BI12" s="11" t="e" vm="1">
        <f>'Students-heatmap'!K72</f>
        <v>#VALUE!</v>
      </c>
      <c r="BJ12" s="11" t="e" vm="1">
        <f>'Students-heatmap'!L72</f>
        <v>#VALUE!</v>
      </c>
      <c r="BK12" s="11" t="e" vm="1">
        <f>'Students-heatmap'!M72</f>
        <v>#VALUE!</v>
      </c>
      <c r="BL12" s="11" t="e" vm="1">
        <f>'Students-heatmap'!N72</f>
        <v>#VALUE!</v>
      </c>
      <c r="BM12" s="14"/>
      <c r="BN12" s="14"/>
      <c r="BO12" s="14"/>
      <c r="BP12" s="14"/>
      <c r="BQ12" s="14"/>
      <c r="BR12" s="14"/>
      <c r="BS12" s="14"/>
      <c r="BT12" s="14"/>
      <c r="BU12" s="14"/>
      <c r="BV12" s="14"/>
    </row>
    <row r="13" spans="1:74" ht="18.75" customHeight="1" x14ac:dyDescent="0.3">
      <c r="A13" s="12"/>
      <c r="B13" s="13" t="s">
        <v>9</v>
      </c>
      <c r="C13" s="12"/>
      <c r="D13" s="23">
        <v>0</v>
      </c>
      <c r="E13" s="12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</row>
    <row r="14" spans="1:74" ht="18.75" customHeight="1" x14ac:dyDescent="0.3">
      <c r="A14" s="12"/>
      <c r="B14" s="24" t="e" vm="2">
        <f>_xlfn.XLOOKUP(B13,'All-report'!$E$2:$E$10,'All-report'!$H$2:$H$10)</f>
        <v>#VALUE!</v>
      </c>
      <c r="C14" s="24"/>
      <c r="D14" t="s">
        <v>6</v>
      </c>
      <c r="E14" s="12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</row>
    <row r="15" spans="1:74" ht="18.75" customHeight="1" x14ac:dyDescent="0.3">
      <c r="A15" s="12"/>
      <c r="B15" s="13" t="s">
        <v>6</v>
      </c>
      <c r="C15" s="12"/>
      <c r="D15" s="23">
        <v>0</v>
      </c>
      <c r="E15" s="12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9"/>
      <c r="AR15" s="19"/>
      <c r="AS15" s="19"/>
      <c r="AT15" s="19"/>
      <c r="AU15" s="19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</row>
    <row r="16" spans="1:74" ht="18.75" customHeight="1" x14ac:dyDescent="0.3">
      <c r="A16" s="12"/>
      <c r="B16" s="24" t="e" vm="2">
        <f>_xlfn.XLOOKUP(B15,'All-report'!$E$2:$E$10,'All-report'!$H$2:$H$10)</f>
        <v>#VALUE!</v>
      </c>
      <c r="C16" s="24"/>
      <c r="D16" t="s">
        <v>7</v>
      </c>
      <c r="E16" s="12"/>
      <c r="F16" s="14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4"/>
      <c r="AO16" s="14"/>
      <c r="AP16" s="14"/>
      <c r="AQ16" s="19"/>
      <c r="AR16" s="19"/>
      <c r="AS16" s="19"/>
      <c r="AT16" s="19"/>
      <c r="AU16" s="19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</row>
    <row r="17" spans="1:74" ht="18.75" customHeight="1" x14ac:dyDescent="0.3">
      <c r="A17" s="12"/>
      <c r="B17" s="13" t="s">
        <v>7</v>
      </c>
      <c r="C17" s="12"/>
      <c r="D17" s="23">
        <v>0</v>
      </c>
      <c r="E17" s="12"/>
      <c r="F17" s="14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</row>
    <row r="18" spans="1:74" ht="18.75" customHeight="1" x14ac:dyDescent="0.3">
      <c r="A18" s="12"/>
      <c r="B18" s="24" t="e" vm="2">
        <f>_xlfn.XLOOKUP(B17,'All-report'!$E$2:$E$10,'All-report'!$H$2:$H$10)</f>
        <v>#VALUE!</v>
      </c>
      <c r="C18" s="24"/>
      <c r="D18" t="s">
        <v>8</v>
      </c>
      <c r="E18" s="12"/>
      <c r="F18" s="14"/>
      <c r="G18" s="19"/>
      <c r="H18" s="19"/>
      <c r="I18" s="19"/>
      <c r="J18" s="19"/>
      <c r="K18" s="19"/>
      <c r="L18" s="19"/>
      <c r="M18" s="26" t="s">
        <v>6</v>
      </c>
      <c r="N18" s="26"/>
      <c r="O18" s="26"/>
      <c r="P18" s="26"/>
      <c r="Q18" s="26"/>
      <c r="R18" s="26"/>
      <c r="S18" s="26"/>
      <c r="T18" s="26"/>
      <c r="U18" s="19"/>
      <c r="V18" s="19"/>
      <c r="W18" s="19"/>
      <c r="X18" s="19"/>
      <c r="Y18" s="26" t="s">
        <v>7</v>
      </c>
      <c r="Z18" s="26"/>
      <c r="AA18" s="26"/>
      <c r="AB18" s="26"/>
      <c r="AC18" s="26"/>
      <c r="AD18" s="26"/>
      <c r="AE18" s="26"/>
      <c r="AF18" s="26"/>
      <c r="AG18" s="19"/>
      <c r="AH18" s="19"/>
      <c r="AI18" s="19"/>
      <c r="AJ18" s="19"/>
      <c r="AK18" s="19"/>
      <c r="AL18" s="26" t="s">
        <v>8</v>
      </c>
      <c r="AM18" s="26"/>
      <c r="AN18" s="26"/>
      <c r="AO18" s="26"/>
      <c r="AP18" s="26"/>
      <c r="AQ18" s="26"/>
      <c r="AR18" s="26"/>
      <c r="AS18" s="26"/>
      <c r="AT18" s="19"/>
      <c r="AU18" s="19"/>
      <c r="AV18" s="19"/>
      <c r="AW18" s="19"/>
      <c r="AX18" s="26" t="s">
        <v>13</v>
      </c>
      <c r="AY18" s="26"/>
      <c r="AZ18" s="26"/>
      <c r="BA18" s="26"/>
      <c r="BB18" s="26"/>
      <c r="BC18" s="26"/>
      <c r="BD18" s="26"/>
      <c r="BE18" s="26"/>
      <c r="BF18" s="19"/>
      <c r="BG18" s="19"/>
      <c r="BH18" s="19"/>
      <c r="BI18" s="19"/>
      <c r="BJ18" s="19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</row>
    <row r="19" spans="1:74" ht="18.75" customHeight="1" x14ac:dyDescent="0.3">
      <c r="A19" s="12"/>
      <c r="B19" s="13" t="s">
        <v>8</v>
      </c>
      <c r="C19" s="12"/>
      <c r="D19" s="23">
        <v>0</v>
      </c>
      <c r="E19" s="12"/>
      <c r="F19" s="14"/>
      <c r="G19" s="19"/>
      <c r="H19" s="19"/>
      <c r="I19" s="19"/>
      <c r="J19" s="19"/>
      <c r="K19" s="19"/>
      <c r="L19" s="19"/>
      <c r="M19" s="17" t="e" vm="1">
        <f>'Students-heatmap'!G27</f>
        <v>#VALUE!</v>
      </c>
      <c r="N19" s="17" t="e" vm="1">
        <f>'Students-heatmap'!H27</f>
        <v>#VALUE!</v>
      </c>
      <c r="O19" s="17" t="e" vm="1">
        <f>'Students-heatmap'!I27</f>
        <v>#VALUE!</v>
      </c>
      <c r="P19" s="17" t="e" vm="1">
        <f>'Students-heatmap'!J27</f>
        <v>#VALUE!</v>
      </c>
      <c r="Q19" s="17" t="e" vm="1">
        <f>'Students-heatmap'!K27</f>
        <v>#VALUE!</v>
      </c>
      <c r="R19" s="17" t="e" vm="1">
        <f>'Students-heatmap'!L27</f>
        <v>#VALUE!</v>
      </c>
      <c r="S19" s="17" t="e" vm="1">
        <f>'Students-heatmap'!M27</f>
        <v>#VALUE!</v>
      </c>
      <c r="T19" s="17" t="e" vm="1">
        <f>'Students-heatmap'!N27</f>
        <v>#VALUE!</v>
      </c>
      <c r="U19" s="19"/>
      <c r="V19" s="19"/>
      <c r="W19" s="19"/>
      <c r="X19" s="19"/>
      <c r="Y19" s="17" t="e" vm="1">
        <f>'Students-heatmap'!G39</f>
        <v>#VALUE!</v>
      </c>
      <c r="Z19" s="17" t="e" vm="1">
        <f>'Students-heatmap'!H39</f>
        <v>#VALUE!</v>
      </c>
      <c r="AA19" s="17" t="e" vm="1">
        <f>'Students-heatmap'!I39</f>
        <v>#VALUE!</v>
      </c>
      <c r="AB19" s="17" t="e" vm="1">
        <f>'Students-heatmap'!J39</f>
        <v>#VALUE!</v>
      </c>
      <c r="AC19" s="17" t="e" vm="1">
        <f>'Students-heatmap'!K39</f>
        <v>#VALUE!</v>
      </c>
      <c r="AD19" s="17" t="e" vm="1">
        <f>'Students-heatmap'!L39</f>
        <v>#VALUE!</v>
      </c>
      <c r="AE19" s="17" t="e" vm="1">
        <f>'Students-heatmap'!M39</f>
        <v>#VALUE!</v>
      </c>
      <c r="AF19" s="17" t="e" vm="1">
        <f>'Students-heatmap'!N39</f>
        <v>#VALUE!</v>
      </c>
      <c r="AG19" s="19"/>
      <c r="AH19" s="19"/>
      <c r="AI19" s="19"/>
      <c r="AJ19" s="14"/>
      <c r="AK19" s="19"/>
      <c r="AL19" s="17" t="e" vm="1">
        <f>'Students-heatmap'!G51</f>
        <v>#VALUE!</v>
      </c>
      <c r="AM19" s="17" t="e" vm="1">
        <f>'Students-heatmap'!H51</f>
        <v>#VALUE!</v>
      </c>
      <c r="AN19" s="17" t="e" vm="1">
        <f>'Students-heatmap'!I51</f>
        <v>#VALUE!</v>
      </c>
      <c r="AO19" s="17" t="e" vm="1">
        <f>'Students-heatmap'!J51</f>
        <v>#VALUE!</v>
      </c>
      <c r="AP19" s="17" t="e" vm="1">
        <f>'Students-heatmap'!K51</f>
        <v>#VALUE!</v>
      </c>
      <c r="AQ19" s="17" t="e" vm="1">
        <f>'Students-heatmap'!L51</f>
        <v>#VALUE!</v>
      </c>
      <c r="AR19" s="17" t="e" vm="1">
        <f>'Students-heatmap'!M51</f>
        <v>#VALUE!</v>
      </c>
      <c r="AS19" s="17" t="e" vm="1">
        <f>'Students-heatmap'!N51</f>
        <v>#VALUE!</v>
      </c>
      <c r="AT19" s="19"/>
      <c r="AU19" s="19"/>
      <c r="AV19" s="19"/>
      <c r="AW19" s="19"/>
      <c r="AX19" s="17" t="e" vm="1">
        <f>'Students-heatmap'!G99</f>
        <v>#VALUE!</v>
      </c>
      <c r="AY19" s="17" t="e" vm="1">
        <f>'Students-heatmap'!H99</f>
        <v>#VALUE!</v>
      </c>
      <c r="AZ19" s="17" t="e" vm="1">
        <f>'Students-heatmap'!I99</f>
        <v>#VALUE!</v>
      </c>
      <c r="BA19" s="17" t="e" vm="1">
        <f>'Students-heatmap'!J99</f>
        <v>#VALUE!</v>
      </c>
      <c r="BB19" s="17" t="e" vm="1">
        <f>'Students-heatmap'!K99</f>
        <v>#VALUE!</v>
      </c>
      <c r="BC19" s="17" t="e" vm="1">
        <f>'Students-heatmap'!L99</f>
        <v>#VALUE!</v>
      </c>
      <c r="BD19" s="17" t="e" vm="1">
        <f>'Students-heatmap'!M99</f>
        <v>#VALUE!</v>
      </c>
      <c r="BE19" s="17" t="e" vm="1">
        <f>'Students-heatmap'!N99</f>
        <v>#VALUE!</v>
      </c>
      <c r="BF19" s="19"/>
      <c r="BG19" s="19"/>
      <c r="BH19" s="19"/>
      <c r="BI19" s="19"/>
      <c r="BJ19" s="19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</row>
    <row r="20" spans="1:74" ht="18.75" customHeight="1" x14ac:dyDescent="0.3">
      <c r="A20" s="12"/>
      <c r="B20" s="24" t="e" vm="2">
        <f>_xlfn.XLOOKUP(B19,'All-report'!$E$2:$E$10,'All-report'!$H$2:$H$10)</f>
        <v>#VALUE!</v>
      </c>
      <c r="C20" s="24"/>
      <c r="D20" t="s">
        <v>10</v>
      </c>
      <c r="E20" s="12"/>
      <c r="F20" s="14"/>
      <c r="G20" s="19"/>
      <c r="H20" s="19"/>
      <c r="I20" s="19"/>
      <c r="J20" s="19"/>
      <c r="K20" s="19"/>
      <c r="L20" s="19"/>
      <c r="M20" s="17" t="e" vm="1">
        <f>'Students-heatmap'!G28</f>
        <v>#VALUE!</v>
      </c>
      <c r="N20" s="17" t="e" vm="1">
        <f>'Students-heatmap'!H28</f>
        <v>#VALUE!</v>
      </c>
      <c r="O20" s="17" t="e" vm="1">
        <f>'Students-heatmap'!I28</f>
        <v>#VALUE!</v>
      </c>
      <c r="P20" s="17" t="e" vm="1">
        <f>'Students-heatmap'!J28</f>
        <v>#VALUE!</v>
      </c>
      <c r="Q20" s="17" t="e" vm="1">
        <f>'Students-heatmap'!K28</f>
        <v>#VALUE!</v>
      </c>
      <c r="R20" s="17" t="e" vm="1">
        <f>'Students-heatmap'!L28</f>
        <v>#VALUE!</v>
      </c>
      <c r="S20" s="17" t="e" vm="1">
        <f>'Students-heatmap'!M28</f>
        <v>#VALUE!</v>
      </c>
      <c r="T20" s="17" t="e" vm="1">
        <f>'Students-heatmap'!N28</f>
        <v>#VALUE!</v>
      </c>
      <c r="U20" s="19"/>
      <c r="V20" s="19"/>
      <c r="W20" s="19"/>
      <c r="X20" s="19"/>
      <c r="Y20" s="17" t="e" vm="1">
        <f>'Students-heatmap'!G40</f>
        <v>#VALUE!</v>
      </c>
      <c r="Z20" s="17" t="e" vm="1">
        <f>'Students-heatmap'!H40</f>
        <v>#VALUE!</v>
      </c>
      <c r="AA20" s="17" t="e" vm="1">
        <f>'Students-heatmap'!I40</f>
        <v>#VALUE!</v>
      </c>
      <c r="AB20" s="17" t="e" vm="1">
        <f>'Students-heatmap'!J40</f>
        <v>#VALUE!</v>
      </c>
      <c r="AC20" s="17" t="e" vm="1">
        <f>'Students-heatmap'!K40</f>
        <v>#VALUE!</v>
      </c>
      <c r="AD20" s="17" t="e" vm="1">
        <f>'Students-heatmap'!L40</f>
        <v>#VALUE!</v>
      </c>
      <c r="AE20" s="17" t="e" vm="1">
        <f>'Students-heatmap'!M40</f>
        <v>#VALUE!</v>
      </c>
      <c r="AF20" s="17" t="e" vm="1">
        <f>'Students-heatmap'!N40</f>
        <v>#VALUE!</v>
      </c>
      <c r="AG20" s="19"/>
      <c r="AH20" s="19"/>
      <c r="AI20" s="19"/>
      <c r="AJ20" s="19"/>
      <c r="AK20" s="19"/>
      <c r="AL20" s="17" t="e" vm="1">
        <f>'Students-heatmap'!G52</f>
        <v>#VALUE!</v>
      </c>
      <c r="AM20" s="17" t="e" vm="1">
        <f>'Students-heatmap'!H52</f>
        <v>#VALUE!</v>
      </c>
      <c r="AN20" s="17" t="e" vm="1">
        <f>'Students-heatmap'!I52</f>
        <v>#VALUE!</v>
      </c>
      <c r="AO20" s="17" t="e" vm="1">
        <f>'Students-heatmap'!J52</f>
        <v>#VALUE!</v>
      </c>
      <c r="AP20" s="17" t="e" vm="1">
        <f>'Students-heatmap'!K52</f>
        <v>#VALUE!</v>
      </c>
      <c r="AQ20" s="17" t="e" vm="1">
        <f>'Students-heatmap'!L52</f>
        <v>#VALUE!</v>
      </c>
      <c r="AR20" s="17" t="e" vm="1">
        <f>'Students-heatmap'!M52</f>
        <v>#VALUE!</v>
      </c>
      <c r="AS20" s="17" t="e" vm="1">
        <f>'Students-heatmap'!N52</f>
        <v>#VALUE!</v>
      </c>
      <c r="AT20" s="19"/>
      <c r="AU20" s="19"/>
      <c r="AV20" s="19"/>
      <c r="AW20" s="19"/>
      <c r="AX20" s="17" t="e" vm="1">
        <f>'Students-heatmap'!G100</f>
        <v>#VALUE!</v>
      </c>
      <c r="AY20" s="17" t="e" vm="1">
        <f>'Students-heatmap'!H100</f>
        <v>#VALUE!</v>
      </c>
      <c r="AZ20" s="17" t="e" vm="1">
        <f>'Students-heatmap'!I100</f>
        <v>#VALUE!</v>
      </c>
      <c r="BA20" s="17" t="e" vm="1">
        <f>'Students-heatmap'!J100</f>
        <v>#VALUE!</v>
      </c>
      <c r="BB20" s="17" t="e" vm="1">
        <f>'Students-heatmap'!K100</f>
        <v>#VALUE!</v>
      </c>
      <c r="BC20" s="17" t="e" vm="1">
        <f>'Students-heatmap'!L100</f>
        <v>#VALUE!</v>
      </c>
      <c r="BD20" s="17" t="e" vm="1">
        <f>'Students-heatmap'!M100</f>
        <v>#VALUE!</v>
      </c>
      <c r="BE20" s="17" t="e" vm="1">
        <f>'Students-heatmap'!N100</f>
        <v>#VALUE!</v>
      </c>
      <c r="BF20" s="19"/>
      <c r="BG20" s="19"/>
      <c r="BH20" s="19"/>
      <c r="BI20" s="19"/>
      <c r="BJ20" s="19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</row>
    <row r="21" spans="1:74" ht="18.75" customHeight="1" x14ac:dyDescent="0.3">
      <c r="A21" s="12"/>
      <c r="B21" s="13" t="s">
        <v>10</v>
      </c>
      <c r="C21" s="12"/>
      <c r="D21" s="23">
        <v>0</v>
      </c>
      <c r="E21" s="12"/>
      <c r="F21" s="14"/>
      <c r="G21" s="19"/>
      <c r="H21" s="19"/>
      <c r="I21" s="19"/>
      <c r="J21" s="19"/>
      <c r="K21" s="19"/>
      <c r="L21" s="19"/>
      <c r="M21" s="17" t="e" vm="1">
        <f>'Students-heatmap'!G29</f>
        <v>#VALUE!</v>
      </c>
      <c r="N21" s="17" t="e" vm="1">
        <f>'Students-heatmap'!H29</f>
        <v>#VALUE!</v>
      </c>
      <c r="O21" s="17" t="e" vm="1">
        <f>'Students-heatmap'!I29</f>
        <v>#VALUE!</v>
      </c>
      <c r="P21" s="17" t="e" vm="1">
        <f>'Students-heatmap'!J29</f>
        <v>#VALUE!</v>
      </c>
      <c r="Q21" s="17" t="e" vm="1">
        <f>'Students-heatmap'!K29</f>
        <v>#VALUE!</v>
      </c>
      <c r="R21" s="17" t="e" vm="1">
        <f>'Students-heatmap'!L29</f>
        <v>#VALUE!</v>
      </c>
      <c r="S21" s="17" t="e" vm="1">
        <f>'Students-heatmap'!M29</f>
        <v>#VALUE!</v>
      </c>
      <c r="T21" s="17" t="e" vm="1">
        <f>'Students-heatmap'!N29</f>
        <v>#VALUE!</v>
      </c>
      <c r="U21" s="19"/>
      <c r="V21" s="19"/>
      <c r="W21" s="19"/>
      <c r="X21" s="19"/>
      <c r="Y21" s="17" t="e" vm="1">
        <f>'Students-heatmap'!G41</f>
        <v>#VALUE!</v>
      </c>
      <c r="Z21" s="17" t="e" vm="1">
        <f>'Students-heatmap'!H41</f>
        <v>#VALUE!</v>
      </c>
      <c r="AA21" s="17" t="e" vm="1">
        <f>'Students-heatmap'!I41</f>
        <v>#VALUE!</v>
      </c>
      <c r="AB21" s="17" t="e" vm="1">
        <f>'Students-heatmap'!J41</f>
        <v>#VALUE!</v>
      </c>
      <c r="AC21" s="17" t="e" vm="1">
        <f>'Students-heatmap'!K41</f>
        <v>#VALUE!</v>
      </c>
      <c r="AD21" s="17" t="e" vm="1">
        <f>'Students-heatmap'!L41</f>
        <v>#VALUE!</v>
      </c>
      <c r="AE21" s="17" t="e" vm="1">
        <f>'Students-heatmap'!M41</f>
        <v>#VALUE!</v>
      </c>
      <c r="AF21" s="17" t="e" vm="1">
        <f>'Students-heatmap'!N41</f>
        <v>#VALUE!</v>
      </c>
      <c r="AG21" s="19"/>
      <c r="AH21" s="19"/>
      <c r="AI21" s="19"/>
      <c r="AJ21" s="19"/>
      <c r="AK21" s="19"/>
      <c r="AL21" s="17" t="e" vm="1">
        <f>'Students-heatmap'!G53</f>
        <v>#VALUE!</v>
      </c>
      <c r="AM21" s="17" t="e" vm="1">
        <f>'Students-heatmap'!H53</f>
        <v>#VALUE!</v>
      </c>
      <c r="AN21" s="17" t="e" vm="1">
        <f>'Students-heatmap'!I53</f>
        <v>#VALUE!</v>
      </c>
      <c r="AO21" s="17" t="e" vm="1">
        <f>'Students-heatmap'!J53</f>
        <v>#VALUE!</v>
      </c>
      <c r="AP21" s="17" t="e" vm="1">
        <f>'Students-heatmap'!K53</f>
        <v>#VALUE!</v>
      </c>
      <c r="AQ21" s="17" t="e" vm="1">
        <f>'Students-heatmap'!L53</f>
        <v>#VALUE!</v>
      </c>
      <c r="AR21" s="17" t="e" vm="1">
        <f>'Students-heatmap'!M53</f>
        <v>#VALUE!</v>
      </c>
      <c r="AS21" s="17" t="e" vm="1">
        <f>'Students-heatmap'!N53</f>
        <v>#VALUE!</v>
      </c>
      <c r="AT21" s="19"/>
      <c r="AU21" s="19"/>
      <c r="AV21" s="19"/>
      <c r="AW21" s="19"/>
      <c r="AX21" s="17" t="e" vm="1">
        <f>'Students-heatmap'!G101</f>
        <v>#VALUE!</v>
      </c>
      <c r="AY21" s="17" t="e" vm="1">
        <f>'Students-heatmap'!H101</f>
        <v>#VALUE!</v>
      </c>
      <c r="AZ21" s="17" t="e" vm="1">
        <f>'Students-heatmap'!I101</f>
        <v>#VALUE!</v>
      </c>
      <c r="BA21" s="17" t="e" vm="1">
        <f>'Students-heatmap'!J101</f>
        <v>#VALUE!</v>
      </c>
      <c r="BB21" s="17" t="e" vm="1">
        <f>'Students-heatmap'!K101</f>
        <v>#VALUE!</v>
      </c>
      <c r="BC21" s="17" t="e" vm="1">
        <f>'Students-heatmap'!L101</f>
        <v>#VALUE!</v>
      </c>
      <c r="BD21" s="17" t="e" vm="1">
        <f>'Students-heatmap'!M101</f>
        <v>#VALUE!</v>
      </c>
      <c r="BE21" s="17" t="e" vm="1">
        <f>'Students-heatmap'!N101</f>
        <v>#VALUE!</v>
      </c>
      <c r="BF21" s="19"/>
      <c r="BG21" s="19"/>
      <c r="BH21" s="19"/>
      <c r="BI21" s="19"/>
      <c r="BJ21" s="19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</row>
    <row r="22" spans="1:74" ht="18.75" customHeight="1" x14ac:dyDescent="0.3">
      <c r="A22" s="12"/>
      <c r="B22" s="24" t="e" vm="2">
        <f>_xlfn.XLOOKUP(B21,'All-report'!$E$2:$E$10,'All-report'!$H$2:$H$10)</f>
        <v>#VALUE!</v>
      </c>
      <c r="C22" s="24"/>
      <c r="D22" t="s">
        <v>13</v>
      </c>
      <c r="E22" s="12"/>
      <c r="F22" s="14"/>
      <c r="G22" s="19"/>
      <c r="H22" s="19"/>
      <c r="I22" s="19"/>
      <c r="J22" s="19"/>
      <c r="K22" s="19"/>
      <c r="L22" s="19"/>
      <c r="M22" s="17" t="e" vm="1">
        <f>'Students-heatmap'!G30</f>
        <v>#VALUE!</v>
      </c>
      <c r="N22" s="17" t="e" vm="1">
        <f>'Students-heatmap'!H30</f>
        <v>#VALUE!</v>
      </c>
      <c r="O22" s="17" t="e" vm="1">
        <f>'Students-heatmap'!I30</f>
        <v>#VALUE!</v>
      </c>
      <c r="P22" s="17" t="e" vm="1">
        <f>'Students-heatmap'!J30</f>
        <v>#VALUE!</v>
      </c>
      <c r="Q22" s="17" t="e" vm="1">
        <f>'Students-heatmap'!K30</f>
        <v>#VALUE!</v>
      </c>
      <c r="R22" s="17" t="e" vm="1">
        <f>'Students-heatmap'!L30</f>
        <v>#VALUE!</v>
      </c>
      <c r="S22" s="17" t="e" vm="1">
        <f>'Students-heatmap'!M30</f>
        <v>#VALUE!</v>
      </c>
      <c r="T22" s="17" t="e" vm="1">
        <f>'Students-heatmap'!N30</f>
        <v>#VALUE!</v>
      </c>
      <c r="U22" s="19"/>
      <c r="V22" s="19"/>
      <c r="W22" s="19"/>
      <c r="X22" s="19"/>
      <c r="Y22" s="17" t="e" vm="1">
        <f>'Students-heatmap'!G42</f>
        <v>#VALUE!</v>
      </c>
      <c r="Z22" s="17" t="e" vm="1">
        <f>'Students-heatmap'!H42</f>
        <v>#VALUE!</v>
      </c>
      <c r="AA22" s="17" t="e" vm="1">
        <f>'Students-heatmap'!I42</f>
        <v>#VALUE!</v>
      </c>
      <c r="AB22" s="17" t="e" vm="1">
        <f>'Students-heatmap'!J42</f>
        <v>#VALUE!</v>
      </c>
      <c r="AC22" s="17" t="e" vm="1">
        <f>'Students-heatmap'!K42</f>
        <v>#VALUE!</v>
      </c>
      <c r="AD22" s="17" t="e" vm="1">
        <f>'Students-heatmap'!L42</f>
        <v>#VALUE!</v>
      </c>
      <c r="AE22" s="17" t="e" vm="1">
        <f>'Students-heatmap'!M42</f>
        <v>#VALUE!</v>
      </c>
      <c r="AF22" s="17" t="e" vm="1">
        <f>'Students-heatmap'!N42</f>
        <v>#VALUE!</v>
      </c>
      <c r="AG22" s="19"/>
      <c r="AH22" s="19"/>
      <c r="AI22" s="19"/>
      <c r="AJ22" s="19"/>
      <c r="AK22" s="19"/>
      <c r="AL22" s="17" t="e" vm="1">
        <f>'Students-heatmap'!G54</f>
        <v>#VALUE!</v>
      </c>
      <c r="AM22" s="17" t="e" vm="1">
        <f>'Students-heatmap'!H54</f>
        <v>#VALUE!</v>
      </c>
      <c r="AN22" s="17" t="e" vm="1">
        <f>'Students-heatmap'!I54</f>
        <v>#VALUE!</v>
      </c>
      <c r="AO22" s="17" t="e" vm="1">
        <f>'Students-heatmap'!J54</f>
        <v>#VALUE!</v>
      </c>
      <c r="AP22" s="17" t="e" vm="1">
        <f>'Students-heatmap'!K54</f>
        <v>#VALUE!</v>
      </c>
      <c r="AQ22" s="17" t="e" vm="1">
        <f>'Students-heatmap'!L54</f>
        <v>#VALUE!</v>
      </c>
      <c r="AR22" s="17" t="e" vm="1">
        <f>'Students-heatmap'!M54</f>
        <v>#VALUE!</v>
      </c>
      <c r="AS22" s="17" t="e" vm="1">
        <f>'Students-heatmap'!N54</f>
        <v>#VALUE!</v>
      </c>
      <c r="AT22" s="19"/>
      <c r="AU22" s="19"/>
      <c r="AV22" s="19"/>
      <c r="AW22" s="19"/>
      <c r="AX22" s="17" t="e" vm="1">
        <f>'Students-heatmap'!G102</f>
        <v>#VALUE!</v>
      </c>
      <c r="AY22" s="17" t="e" vm="1">
        <f>'Students-heatmap'!H102</f>
        <v>#VALUE!</v>
      </c>
      <c r="AZ22" s="17" t="e" vm="1">
        <f>'Students-heatmap'!I102</f>
        <v>#VALUE!</v>
      </c>
      <c r="BA22" s="17" t="e" vm="1">
        <f>'Students-heatmap'!J102</f>
        <v>#VALUE!</v>
      </c>
      <c r="BB22" s="17" t="e" vm="1">
        <f>'Students-heatmap'!K102</f>
        <v>#VALUE!</v>
      </c>
      <c r="BC22" s="17" t="e" vm="1">
        <f>'Students-heatmap'!L102</f>
        <v>#VALUE!</v>
      </c>
      <c r="BD22" s="17" t="e" vm="1">
        <f>'Students-heatmap'!M102</f>
        <v>#VALUE!</v>
      </c>
      <c r="BE22" s="17" t="e" vm="1">
        <f>'Students-heatmap'!N102</f>
        <v>#VALUE!</v>
      </c>
      <c r="BF22" s="19"/>
      <c r="BG22" s="19"/>
      <c r="BH22" s="19"/>
      <c r="BI22" s="19"/>
      <c r="BJ22" s="19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</row>
    <row r="23" spans="1:74" ht="18.75" x14ac:dyDescent="0.3">
      <c r="A23" s="12"/>
      <c r="B23" s="13" t="s">
        <v>13</v>
      </c>
      <c r="C23" s="12"/>
      <c r="D23" s="23">
        <v>0</v>
      </c>
      <c r="E23" s="12"/>
      <c r="F23" s="14"/>
      <c r="G23" s="19"/>
      <c r="H23" s="19"/>
      <c r="I23" s="19"/>
      <c r="J23" s="19"/>
      <c r="K23" s="19"/>
      <c r="L23" s="19"/>
      <c r="M23" s="17" t="e" vm="1">
        <f>'Students-heatmap'!G31</f>
        <v>#VALUE!</v>
      </c>
      <c r="N23" s="17" t="e" vm="1">
        <f>'Students-heatmap'!H31</f>
        <v>#VALUE!</v>
      </c>
      <c r="O23" s="17" t="e" vm="1">
        <f>'Students-heatmap'!I31</f>
        <v>#VALUE!</v>
      </c>
      <c r="P23" s="17" t="e" vm="1">
        <f>'Students-heatmap'!J31</f>
        <v>#VALUE!</v>
      </c>
      <c r="Q23" s="17" t="e" vm="1">
        <f>'Students-heatmap'!K31</f>
        <v>#VALUE!</v>
      </c>
      <c r="R23" s="17" t="e" vm="1">
        <f>'Students-heatmap'!L31</f>
        <v>#VALUE!</v>
      </c>
      <c r="S23" s="17" t="e" vm="1">
        <f>'Students-heatmap'!M31</f>
        <v>#VALUE!</v>
      </c>
      <c r="T23" s="17" t="e" vm="1">
        <f>'Students-heatmap'!N31</f>
        <v>#VALUE!</v>
      </c>
      <c r="U23" s="19"/>
      <c r="V23" s="19"/>
      <c r="W23" s="19"/>
      <c r="X23" s="19"/>
      <c r="Y23" s="17" t="e" vm="1">
        <f>'Students-heatmap'!G43</f>
        <v>#VALUE!</v>
      </c>
      <c r="Z23" s="17" t="e" vm="1">
        <f>'Students-heatmap'!H43</f>
        <v>#VALUE!</v>
      </c>
      <c r="AA23" s="17" t="e" vm="1">
        <f>'Students-heatmap'!I43</f>
        <v>#VALUE!</v>
      </c>
      <c r="AB23" s="17" t="e" vm="1">
        <f>'Students-heatmap'!J43</f>
        <v>#VALUE!</v>
      </c>
      <c r="AC23" s="17" t="e" vm="1">
        <f>'Students-heatmap'!K43</f>
        <v>#VALUE!</v>
      </c>
      <c r="AD23" s="17" t="e" vm="1">
        <f>'Students-heatmap'!L43</f>
        <v>#VALUE!</v>
      </c>
      <c r="AE23" s="17" t="e" vm="1">
        <f>'Students-heatmap'!M43</f>
        <v>#VALUE!</v>
      </c>
      <c r="AF23" s="17" t="e" vm="1">
        <f>'Students-heatmap'!N43</f>
        <v>#VALUE!</v>
      </c>
      <c r="AG23" s="19"/>
      <c r="AH23" s="19"/>
      <c r="AI23" s="19"/>
      <c r="AJ23" s="19"/>
      <c r="AK23" s="19"/>
      <c r="AL23" s="17" t="e" vm="1">
        <f>'Students-heatmap'!G55</f>
        <v>#VALUE!</v>
      </c>
      <c r="AM23" s="17" t="e" vm="1">
        <f>'Students-heatmap'!H55</f>
        <v>#VALUE!</v>
      </c>
      <c r="AN23" s="17" t="e" vm="1">
        <f>'Students-heatmap'!I55</f>
        <v>#VALUE!</v>
      </c>
      <c r="AO23" s="17" t="e" vm="1">
        <f>'Students-heatmap'!J55</f>
        <v>#VALUE!</v>
      </c>
      <c r="AP23" s="17" t="e" vm="1">
        <f>'Students-heatmap'!K55</f>
        <v>#VALUE!</v>
      </c>
      <c r="AQ23" s="17" t="e" vm="1">
        <f>'Students-heatmap'!L55</f>
        <v>#VALUE!</v>
      </c>
      <c r="AR23" s="17" t="e" vm="1">
        <f>'Students-heatmap'!M55</f>
        <v>#VALUE!</v>
      </c>
      <c r="AS23" s="17" t="e" vm="1">
        <f>'Students-heatmap'!N55</f>
        <v>#VALUE!</v>
      </c>
      <c r="AT23" s="19"/>
      <c r="AU23" s="19"/>
      <c r="AV23" s="19"/>
      <c r="AW23" s="19"/>
      <c r="AX23" s="17" t="e" vm="1">
        <f>'Students-heatmap'!G103</f>
        <v>#VALUE!</v>
      </c>
      <c r="AY23" s="17" t="e" vm="1">
        <f>'Students-heatmap'!H103</f>
        <v>#VALUE!</v>
      </c>
      <c r="AZ23" s="17" t="e" vm="1">
        <f>'Students-heatmap'!I103</f>
        <v>#VALUE!</v>
      </c>
      <c r="BA23" s="17" t="e" vm="1">
        <f>'Students-heatmap'!J103</f>
        <v>#VALUE!</v>
      </c>
      <c r="BB23" s="17" t="e" vm="1">
        <f>'Students-heatmap'!K103</f>
        <v>#VALUE!</v>
      </c>
      <c r="BC23" s="17" t="e" vm="1">
        <f>'Students-heatmap'!L103</f>
        <v>#VALUE!</v>
      </c>
      <c r="BD23" s="17" t="e" vm="1">
        <f>'Students-heatmap'!M103</f>
        <v>#VALUE!</v>
      </c>
      <c r="BE23" s="17" t="e" vm="1">
        <f>'Students-heatmap'!N103</f>
        <v>#VALUE!</v>
      </c>
      <c r="BF23" s="19"/>
      <c r="BG23" s="19"/>
      <c r="BH23" s="19"/>
      <c r="BI23" s="19"/>
      <c r="BJ23" s="19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</row>
    <row r="24" spans="1:74" ht="18.75" x14ac:dyDescent="0.3">
      <c r="A24" s="12"/>
      <c r="B24" s="24" t="e" vm="2">
        <f>_xlfn.XLOOKUP(B23,'All-report'!$E$2:$E$10,'All-report'!$H$2:$H$10)</f>
        <v>#VALUE!</v>
      </c>
      <c r="C24" s="24"/>
      <c r="D24" s="12"/>
      <c r="E24" s="12"/>
      <c r="F24" s="14"/>
      <c r="G24" s="19"/>
      <c r="H24" s="19"/>
      <c r="I24" s="19"/>
      <c r="J24" s="19"/>
      <c r="K24" s="19"/>
      <c r="L24" s="19"/>
      <c r="M24" s="17" t="e" vm="1">
        <f>'Students-heatmap'!G32</f>
        <v>#VALUE!</v>
      </c>
      <c r="N24" s="17" t="e" vm="1">
        <f>'Students-heatmap'!H32</f>
        <v>#VALUE!</v>
      </c>
      <c r="O24" s="17" t="e" vm="1">
        <f>'Students-heatmap'!I32</f>
        <v>#VALUE!</v>
      </c>
      <c r="P24" s="17" t="e" vm="1">
        <f>'Students-heatmap'!J32</f>
        <v>#VALUE!</v>
      </c>
      <c r="Q24" s="17" t="e" vm="1">
        <f>'Students-heatmap'!K32</f>
        <v>#VALUE!</v>
      </c>
      <c r="R24" s="17" t="e" vm="1">
        <f>'Students-heatmap'!L32</f>
        <v>#VALUE!</v>
      </c>
      <c r="S24" s="17" t="e" vm="1">
        <f>'Students-heatmap'!M32</f>
        <v>#VALUE!</v>
      </c>
      <c r="T24" s="17" t="e" vm="1">
        <f>'Students-heatmap'!N32</f>
        <v>#VALUE!</v>
      </c>
      <c r="U24" s="19"/>
      <c r="V24" s="19"/>
      <c r="W24" s="19"/>
      <c r="X24" s="19"/>
      <c r="Y24" s="17" t="e" vm="1">
        <f>'Students-heatmap'!G44</f>
        <v>#VALUE!</v>
      </c>
      <c r="Z24" s="17" t="e" vm="1">
        <f>'Students-heatmap'!H44</f>
        <v>#VALUE!</v>
      </c>
      <c r="AA24" s="17" t="e" vm="1">
        <f>'Students-heatmap'!I44</f>
        <v>#VALUE!</v>
      </c>
      <c r="AB24" s="17" t="e" vm="1">
        <f>'Students-heatmap'!J44</f>
        <v>#VALUE!</v>
      </c>
      <c r="AC24" s="17" t="e" vm="1">
        <f>'Students-heatmap'!K44</f>
        <v>#VALUE!</v>
      </c>
      <c r="AD24" s="17" t="e" vm="1">
        <f>'Students-heatmap'!L44</f>
        <v>#VALUE!</v>
      </c>
      <c r="AE24" s="17" t="e" vm="1">
        <f>'Students-heatmap'!M44</f>
        <v>#VALUE!</v>
      </c>
      <c r="AF24" s="17" t="e" vm="1">
        <f>'Students-heatmap'!N44</f>
        <v>#VALUE!</v>
      </c>
      <c r="AG24" s="19"/>
      <c r="AH24" s="19"/>
      <c r="AI24" s="19"/>
      <c r="AJ24" s="19"/>
      <c r="AK24" s="19"/>
      <c r="AL24" s="17" t="e" vm="1">
        <f>'Students-heatmap'!G56</f>
        <v>#VALUE!</v>
      </c>
      <c r="AM24" s="17" t="e" vm="1">
        <f>'Students-heatmap'!H56</f>
        <v>#VALUE!</v>
      </c>
      <c r="AN24" s="17" t="e" vm="1">
        <f>'Students-heatmap'!I56</f>
        <v>#VALUE!</v>
      </c>
      <c r="AO24" s="17" t="e" vm="1">
        <f>'Students-heatmap'!J56</f>
        <v>#VALUE!</v>
      </c>
      <c r="AP24" s="17" t="e" vm="1">
        <f>'Students-heatmap'!K56</f>
        <v>#VALUE!</v>
      </c>
      <c r="AQ24" s="17" t="e" vm="1">
        <f>'Students-heatmap'!L56</f>
        <v>#VALUE!</v>
      </c>
      <c r="AR24" s="17" t="e" vm="1">
        <f>'Students-heatmap'!M56</f>
        <v>#VALUE!</v>
      </c>
      <c r="AS24" s="17" t="e" vm="1">
        <f>'Students-heatmap'!N56</f>
        <v>#VALUE!</v>
      </c>
      <c r="AT24" s="19"/>
      <c r="AU24" s="19"/>
      <c r="AV24" s="19"/>
      <c r="AW24" s="19"/>
      <c r="AX24" s="17" t="e" vm="1">
        <f>'Students-heatmap'!G104</f>
        <v>#VALUE!</v>
      </c>
      <c r="AY24" s="17" t="e" vm="1">
        <f>'Students-heatmap'!H104</f>
        <v>#VALUE!</v>
      </c>
      <c r="AZ24" s="17" t="e" vm="1">
        <f>'Students-heatmap'!I104</f>
        <v>#VALUE!</v>
      </c>
      <c r="BA24" s="17" t="e" vm="1">
        <f>'Students-heatmap'!J104</f>
        <v>#VALUE!</v>
      </c>
      <c r="BB24" s="17" t="e" vm="1">
        <f>'Students-heatmap'!K104</f>
        <v>#VALUE!</v>
      </c>
      <c r="BC24" s="17" t="e" vm="1">
        <f>'Students-heatmap'!L104</f>
        <v>#VALUE!</v>
      </c>
      <c r="BD24" s="17" t="e" vm="1">
        <f>'Students-heatmap'!M104</f>
        <v>#VALUE!</v>
      </c>
      <c r="BE24" s="17" t="e" vm="1">
        <f>'Students-heatmap'!N104</f>
        <v>#VALUE!</v>
      </c>
      <c r="BF24" s="19"/>
      <c r="BG24" s="19"/>
      <c r="BH24" s="19"/>
      <c r="BI24" s="19"/>
      <c r="BJ24" s="19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</row>
    <row r="25" spans="1:74" ht="18.75" x14ac:dyDescent="0.3">
      <c r="A25" s="12"/>
      <c r="B25" s="12"/>
      <c r="C25" s="12"/>
      <c r="D25" s="12"/>
      <c r="E25" s="12"/>
      <c r="F25" s="14"/>
      <c r="G25" s="19"/>
      <c r="H25" s="19"/>
      <c r="I25" s="19"/>
      <c r="J25" s="19"/>
      <c r="K25" s="19"/>
      <c r="L25" s="19"/>
      <c r="M25" s="17" t="e" vm="1">
        <f>'Students-heatmap'!G33</f>
        <v>#VALUE!</v>
      </c>
      <c r="N25" s="17" t="e" vm="1">
        <f>'Students-heatmap'!H33</f>
        <v>#VALUE!</v>
      </c>
      <c r="O25" s="17" t="e" vm="1">
        <f>'Students-heatmap'!I33</f>
        <v>#VALUE!</v>
      </c>
      <c r="P25" s="17" t="e" vm="1">
        <f>'Students-heatmap'!J33</f>
        <v>#VALUE!</v>
      </c>
      <c r="Q25" s="17" t="e" vm="1">
        <f>'Students-heatmap'!K33</f>
        <v>#VALUE!</v>
      </c>
      <c r="R25" s="17" t="e" vm="1">
        <f>'Students-heatmap'!L33</f>
        <v>#VALUE!</v>
      </c>
      <c r="S25" s="17" t="e" vm="1">
        <f>'Students-heatmap'!M33</f>
        <v>#VALUE!</v>
      </c>
      <c r="T25" s="17" t="e" vm="1">
        <f>'Students-heatmap'!N33</f>
        <v>#VALUE!</v>
      </c>
      <c r="U25" s="19"/>
      <c r="V25" s="19"/>
      <c r="W25" s="19"/>
      <c r="X25" s="19"/>
      <c r="Y25" s="17" t="e" vm="1">
        <f>'Students-heatmap'!G45</f>
        <v>#VALUE!</v>
      </c>
      <c r="Z25" s="17" t="e" vm="1">
        <f>'Students-heatmap'!H45</f>
        <v>#VALUE!</v>
      </c>
      <c r="AA25" s="17" t="e" vm="1">
        <f>'Students-heatmap'!I45</f>
        <v>#VALUE!</v>
      </c>
      <c r="AB25" s="17" t="e" vm="1">
        <f>'Students-heatmap'!J45</f>
        <v>#VALUE!</v>
      </c>
      <c r="AC25" s="17" t="e" vm="1">
        <f>'Students-heatmap'!K45</f>
        <v>#VALUE!</v>
      </c>
      <c r="AD25" s="17" t="e" vm="1">
        <f>'Students-heatmap'!L45</f>
        <v>#VALUE!</v>
      </c>
      <c r="AE25" s="17" t="e" vm="1">
        <f>'Students-heatmap'!M45</f>
        <v>#VALUE!</v>
      </c>
      <c r="AF25" s="17" t="e" vm="1">
        <f>'Students-heatmap'!N45</f>
        <v>#VALUE!</v>
      </c>
      <c r="AG25" s="19"/>
      <c r="AH25" s="19"/>
      <c r="AI25" s="19"/>
      <c r="AJ25" s="19"/>
      <c r="AK25" s="19"/>
      <c r="AL25" s="17" t="e" vm="1">
        <f>'Students-heatmap'!G57</f>
        <v>#VALUE!</v>
      </c>
      <c r="AM25" s="17" t="e" vm="1">
        <f>'Students-heatmap'!H57</f>
        <v>#VALUE!</v>
      </c>
      <c r="AN25" s="17" t="e" vm="1">
        <f>'Students-heatmap'!I57</f>
        <v>#VALUE!</v>
      </c>
      <c r="AO25" s="17" t="e" vm="1">
        <f>'Students-heatmap'!J57</f>
        <v>#VALUE!</v>
      </c>
      <c r="AP25" s="17" t="e" vm="1">
        <f>'Students-heatmap'!K57</f>
        <v>#VALUE!</v>
      </c>
      <c r="AQ25" s="17" t="e" vm="1">
        <f>'Students-heatmap'!L57</f>
        <v>#VALUE!</v>
      </c>
      <c r="AR25" s="17" t="e" vm="1">
        <f>'Students-heatmap'!M57</f>
        <v>#VALUE!</v>
      </c>
      <c r="AS25" s="17" t="e" vm="1">
        <f>'Students-heatmap'!N57</f>
        <v>#VALUE!</v>
      </c>
      <c r="AT25" s="19"/>
      <c r="AU25" s="19"/>
      <c r="AV25" s="19"/>
      <c r="AW25" s="19"/>
      <c r="AX25" s="17" t="e" vm="1">
        <f>'Students-heatmap'!G105</f>
        <v>#VALUE!</v>
      </c>
      <c r="AY25" s="17" t="e" vm="1">
        <f>'Students-heatmap'!H105</f>
        <v>#VALUE!</v>
      </c>
      <c r="AZ25" s="17" t="e" vm="1">
        <f>'Students-heatmap'!I105</f>
        <v>#VALUE!</v>
      </c>
      <c r="BA25" s="17" t="e" vm="1">
        <f>'Students-heatmap'!J105</f>
        <v>#VALUE!</v>
      </c>
      <c r="BB25" s="17" t="e" vm="1">
        <f>'Students-heatmap'!K105</f>
        <v>#VALUE!</v>
      </c>
      <c r="BC25" s="17" t="e" vm="1">
        <f>'Students-heatmap'!L105</f>
        <v>#VALUE!</v>
      </c>
      <c r="BD25" s="17" t="e" vm="1">
        <f>'Students-heatmap'!M105</f>
        <v>#VALUE!</v>
      </c>
      <c r="BE25" s="17" t="e" vm="1">
        <f>'Students-heatmap'!N105</f>
        <v>#VALUE!</v>
      </c>
      <c r="BF25" s="19"/>
      <c r="BG25" s="19"/>
      <c r="BH25" s="19"/>
      <c r="BI25" s="19"/>
      <c r="BJ25" s="19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</row>
    <row r="26" spans="1:74" ht="18.75" x14ac:dyDescent="0.3">
      <c r="A26" s="12"/>
      <c r="B26" s="12"/>
      <c r="C26" s="12"/>
      <c r="D26" s="12"/>
      <c r="E26" s="12"/>
      <c r="F26" s="14"/>
      <c r="G26" s="19"/>
      <c r="H26" s="19"/>
      <c r="I26" s="19"/>
      <c r="J26" s="19"/>
      <c r="K26" s="19"/>
      <c r="L26" s="19"/>
      <c r="M26" s="17" t="e" vm="1">
        <f>'Students-heatmap'!G34</f>
        <v>#VALUE!</v>
      </c>
      <c r="N26" s="17" t="e" vm="1">
        <f>'Students-heatmap'!H34</f>
        <v>#VALUE!</v>
      </c>
      <c r="O26" s="17" t="e" vm="1">
        <f>'Students-heatmap'!I34</f>
        <v>#VALUE!</v>
      </c>
      <c r="P26" s="17" t="e" vm="1">
        <f>'Students-heatmap'!J34</f>
        <v>#VALUE!</v>
      </c>
      <c r="Q26" s="17" t="e" vm="1">
        <f>'Students-heatmap'!K34</f>
        <v>#VALUE!</v>
      </c>
      <c r="R26" s="17" t="e" vm="1">
        <f>'Students-heatmap'!L34</f>
        <v>#VALUE!</v>
      </c>
      <c r="S26" s="17" t="e" vm="1">
        <f>'Students-heatmap'!M34</f>
        <v>#VALUE!</v>
      </c>
      <c r="T26" s="17" t="e" vm="1">
        <f>'Students-heatmap'!N34</f>
        <v>#VALUE!</v>
      </c>
      <c r="U26" s="19"/>
      <c r="V26" s="19"/>
      <c r="W26" s="19"/>
      <c r="X26" s="19"/>
      <c r="Y26" s="17" t="e" vm="1">
        <f>'Students-heatmap'!G46</f>
        <v>#VALUE!</v>
      </c>
      <c r="Z26" s="17" t="e" vm="1">
        <f>'Students-heatmap'!H46</f>
        <v>#VALUE!</v>
      </c>
      <c r="AA26" s="17" t="e" vm="1">
        <f>'Students-heatmap'!I46</f>
        <v>#VALUE!</v>
      </c>
      <c r="AB26" s="17" t="e" vm="1">
        <f>'Students-heatmap'!J46</f>
        <v>#VALUE!</v>
      </c>
      <c r="AC26" s="17" t="e" vm="1">
        <f>'Students-heatmap'!K46</f>
        <v>#VALUE!</v>
      </c>
      <c r="AD26" s="17" t="e" vm="1">
        <f>'Students-heatmap'!L46</f>
        <v>#VALUE!</v>
      </c>
      <c r="AE26" s="17" t="e" vm="1">
        <f>'Students-heatmap'!M46</f>
        <v>#VALUE!</v>
      </c>
      <c r="AF26" s="17" t="e" vm="1">
        <f>'Students-heatmap'!N46</f>
        <v>#VALUE!</v>
      </c>
      <c r="AG26" s="19"/>
      <c r="AH26" s="19"/>
      <c r="AI26" s="19"/>
      <c r="AJ26" s="19"/>
      <c r="AK26" s="19"/>
      <c r="AL26" s="17" t="e" vm="1">
        <f>'Students-heatmap'!G58</f>
        <v>#VALUE!</v>
      </c>
      <c r="AM26" s="17" t="e" vm="1">
        <f>'Students-heatmap'!H58</f>
        <v>#VALUE!</v>
      </c>
      <c r="AN26" s="17" t="e" vm="1">
        <f>'Students-heatmap'!I58</f>
        <v>#VALUE!</v>
      </c>
      <c r="AO26" s="17" t="e" vm="1">
        <f>'Students-heatmap'!J58</f>
        <v>#VALUE!</v>
      </c>
      <c r="AP26" s="17" t="e" vm="1">
        <f>'Students-heatmap'!K58</f>
        <v>#VALUE!</v>
      </c>
      <c r="AQ26" s="17" t="e" vm="1">
        <f>'Students-heatmap'!L58</f>
        <v>#VALUE!</v>
      </c>
      <c r="AR26" s="17" t="e" vm="1">
        <f>'Students-heatmap'!M58</f>
        <v>#VALUE!</v>
      </c>
      <c r="AS26" s="17" t="e" vm="1">
        <f>'Students-heatmap'!N58</f>
        <v>#VALUE!</v>
      </c>
      <c r="AT26" s="19"/>
      <c r="AU26" s="19"/>
      <c r="AV26" s="19"/>
      <c r="AW26" s="19"/>
      <c r="AX26" s="17" t="e" vm="1">
        <f>'Students-heatmap'!G106</f>
        <v>#VALUE!</v>
      </c>
      <c r="AY26" s="17" t="e" vm="1">
        <f>'Students-heatmap'!H106</f>
        <v>#VALUE!</v>
      </c>
      <c r="AZ26" s="17" t="e" vm="1">
        <f>'Students-heatmap'!I106</f>
        <v>#VALUE!</v>
      </c>
      <c r="BA26" s="17" t="e" vm="1">
        <f>'Students-heatmap'!J106</f>
        <v>#VALUE!</v>
      </c>
      <c r="BB26" s="17" t="e" vm="1">
        <f>'Students-heatmap'!K106</f>
        <v>#VALUE!</v>
      </c>
      <c r="BC26" s="17" t="e" vm="1">
        <f>'Students-heatmap'!L106</f>
        <v>#VALUE!</v>
      </c>
      <c r="BD26" s="17" t="e" vm="1">
        <f>'Students-heatmap'!M106</f>
        <v>#VALUE!</v>
      </c>
      <c r="BE26" s="17" t="e" vm="1">
        <f>'Students-heatmap'!N106</f>
        <v>#VALUE!</v>
      </c>
      <c r="BF26" s="19"/>
      <c r="BG26" s="19"/>
      <c r="BH26" s="19"/>
      <c r="BI26" s="19"/>
      <c r="BJ26" s="19"/>
      <c r="BK26" s="14"/>
      <c r="BL26" s="14"/>
      <c r="BM26" s="14"/>
      <c r="BN26" s="14"/>
      <c r="BO26" s="14"/>
      <c r="BP26" s="14"/>
      <c r="BQ26" s="19"/>
      <c r="BR26" s="19"/>
      <c r="BS26" s="19"/>
      <c r="BT26" s="19"/>
      <c r="BU26" s="19"/>
      <c r="BV26" s="19"/>
    </row>
    <row r="27" spans="1:74" ht="18.75" x14ac:dyDescent="0.3">
      <c r="A27" s="12"/>
      <c r="B27" s="12"/>
      <c r="C27" s="12"/>
      <c r="D27" s="12"/>
      <c r="E27" s="12"/>
      <c r="F27" s="14"/>
      <c r="G27" s="19"/>
      <c r="H27" s="19"/>
      <c r="I27" s="19"/>
      <c r="J27" s="19"/>
      <c r="K27" s="19"/>
      <c r="L27" s="19"/>
      <c r="M27" s="17" t="e" vm="1">
        <f>'Students-heatmap'!G35</f>
        <v>#VALUE!</v>
      </c>
      <c r="N27" s="17" t="e" vm="1">
        <f>'Students-heatmap'!H35</f>
        <v>#VALUE!</v>
      </c>
      <c r="O27" s="17" t="e" vm="1">
        <f>'Students-heatmap'!I35</f>
        <v>#VALUE!</v>
      </c>
      <c r="P27" s="17" t="e" vm="1">
        <f>'Students-heatmap'!J35</f>
        <v>#VALUE!</v>
      </c>
      <c r="Q27" s="17" t="e" vm="1">
        <f>'Students-heatmap'!K35</f>
        <v>#VALUE!</v>
      </c>
      <c r="R27" s="17" t="e" vm="1">
        <f>'Students-heatmap'!L35</f>
        <v>#VALUE!</v>
      </c>
      <c r="S27" s="17" t="e" vm="1">
        <f>'Students-heatmap'!M35</f>
        <v>#VALUE!</v>
      </c>
      <c r="T27" s="17" t="e" vm="1">
        <f>'Students-heatmap'!N35</f>
        <v>#VALUE!</v>
      </c>
      <c r="U27" s="19"/>
      <c r="V27" s="19"/>
      <c r="W27" s="19"/>
      <c r="X27" s="19"/>
      <c r="Y27" s="17" t="e" vm="1">
        <f>'Students-heatmap'!G47</f>
        <v>#VALUE!</v>
      </c>
      <c r="Z27" s="17" t="e" vm="1">
        <f>'Students-heatmap'!H47</f>
        <v>#VALUE!</v>
      </c>
      <c r="AA27" s="17" t="e" vm="1">
        <f>'Students-heatmap'!I47</f>
        <v>#VALUE!</v>
      </c>
      <c r="AB27" s="17" t="e" vm="1">
        <f>'Students-heatmap'!J47</f>
        <v>#VALUE!</v>
      </c>
      <c r="AC27" s="17" t="e" vm="1">
        <f>'Students-heatmap'!K47</f>
        <v>#VALUE!</v>
      </c>
      <c r="AD27" s="17" t="e" vm="1">
        <f>'Students-heatmap'!L47</f>
        <v>#VALUE!</v>
      </c>
      <c r="AE27" s="17" t="e" vm="1">
        <f>'Students-heatmap'!M47</f>
        <v>#VALUE!</v>
      </c>
      <c r="AF27" s="17" t="e" vm="1">
        <f>'Students-heatmap'!N47</f>
        <v>#VALUE!</v>
      </c>
      <c r="AG27" s="19"/>
      <c r="AH27" s="19"/>
      <c r="AI27" s="19"/>
      <c r="AJ27" s="19"/>
      <c r="AK27" s="19"/>
      <c r="AL27" s="17" t="e" vm="1">
        <f>'Students-heatmap'!G59</f>
        <v>#VALUE!</v>
      </c>
      <c r="AM27" s="17" t="e" vm="1">
        <f>'Students-heatmap'!H59</f>
        <v>#VALUE!</v>
      </c>
      <c r="AN27" s="17" t="e" vm="1">
        <f>'Students-heatmap'!I59</f>
        <v>#VALUE!</v>
      </c>
      <c r="AO27" s="17" t="e" vm="1">
        <f>'Students-heatmap'!J59</f>
        <v>#VALUE!</v>
      </c>
      <c r="AP27" s="17" t="e" vm="1">
        <f>'Students-heatmap'!K59</f>
        <v>#VALUE!</v>
      </c>
      <c r="AQ27" s="17" t="e" vm="1">
        <f>'Students-heatmap'!L59</f>
        <v>#VALUE!</v>
      </c>
      <c r="AR27" s="17" t="e" vm="1">
        <f>'Students-heatmap'!M59</f>
        <v>#VALUE!</v>
      </c>
      <c r="AS27" s="17" t="e" vm="1">
        <f>'Students-heatmap'!N59</f>
        <v>#VALUE!</v>
      </c>
      <c r="AT27" s="19"/>
      <c r="AU27" s="19"/>
      <c r="AV27" s="19"/>
      <c r="AW27" s="19"/>
      <c r="AX27" s="17" t="e" vm="1">
        <f>'Students-heatmap'!G107</f>
        <v>#VALUE!</v>
      </c>
      <c r="AY27" s="17" t="e" vm="1">
        <f>'Students-heatmap'!H107</f>
        <v>#VALUE!</v>
      </c>
      <c r="AZ27" s="17" t="e" vm="1">
        <f>'Students-heatmap'!I107</f>
        <v>#VALUE!</v>
      </c>
      <c r="BA27" s="17" t="e" vm="1">
        <f>'Students-heatmap'!J107</f>
        <v>#VALUE!</v>
      </c>
      <c r="BB27" s="17" t="e" vm="1">
        <f>'Students-heatmap'!K107</f>
        <v>#VALUE!</v>
      </c>
      <c r="BC27" s="17" t="e" vm="1">
        <f>'Students-heatmap'!L107</f>
        <v>#VALUE!</v>
      </c>
      <c r="BD27" s="17" t="e" vm="1">
        <f>'Students-heatmap'!M107</f>
        <v>#VALUE!</v>
      </c>
      <c r="BE27" s="17" t="e" vm="1">
        <f>'Students-heatmap'!N107</f>
        <v>#VALUE!</v>
      </c>
      <c r="BF27" s="19"/>
      <c r="BG27" s="19"/>
      <c r="BH27" s="19"/>
      <c r="BI27" s="19"/>
      <c r="BJ27" s="19"/>
      <c r="BK27" s="14"/>
      <c r="BL27" s="14"/>
      <c r="BM27" s="14"/>
      <c r="BN27" s="14"/>
      <c r="BO27" s="14"/>
      <c r="BP27" s="14"/>
      <c r="BQ27" s="19"/>
      <c r="BR27" s="19"/>
      <c r="BS27" s="19"/>
      <c r="BT27" s="19"/>
      <c r="BU27" s="19"/>
      <c r="BV27" s="19"/>
    </row>
    <row r="28" spans="1:74" ht="18.75" x14ac:dyDescent="0.3">
      <c r="A28" s="12"/>
      <c r="B28" s="12"/>
      <c r="C28" s="12"/>
      <c r="D28" s="12"/>
      <c r="E28" s="12"/>
      <c r="F28" s="14"/>
      <c r="G28" s="19"/>
      <c r="H28" s="19"/>
      <c r="I28" s="19"/>
      <c r="J28" s="19"/>
      <c r="K28" s="19"/>
      <c r="L28" s="19"/>
      <c r="M28" s="11" t="e" vm="1">
        <f>'Students-heatmap'!G36</f>
        <v>#VALUE!</v>
      </c>
      <c r="N28" s="11" t="e" vm="1">
        <f>'Students-heatmap'!H36</f>
        <v>#VALUE!</v>
      </c>
      <c r="O28" s="11" t="e" vm="1">
        <f>'Students-heatmap'!I36</f>
        <v>#VALUE!</v>
      </c>
      <c r="P28" s="11" t="e" vm="1">
        <f>'Students-heatmap'!J36</f>
        <v>#VALUE!</v>
      </c>
      <c r="Q28" s="11" t="e" vm="1">
        <f>'Students-heatmap'!K36</f>
        <v>#VALUE!</v>
      </c>
      <c r="R28" s="11" t="e" vm="1">
        <f>'Students-heatmap'!L36</f>
        <v>#VALUE!</v>
      </c>
      <c r="S28" s="11" t="e" vm="1">
        <f>'Students-heatmap'!M36</f>
        <v>#VALUE!</v>
      </c>
      <c r="T28" s="11" t="e" vm="1">
        <f>'Students-heatmap'!N36</f>
        <v>#VALUE!</v>
      </c>
      <c r="U28" s="19"/>
      <c r="V28" s="19"/>
      <c r="W28" s="19"/>
      <c r="X28" s="19"/>
      <c r="Y28" s="11" t="e" vm="1">
        <f>'Students-heatmap'!G48</f>
        <v>#VALUE!</v>
      </c>
      <c r="Z28" s="11" t="e" vm="1">
        <f>'Students-heatmap'!H48</f>
        <v>#VALUE!</v>
      </c>
      <c r="AA28" s="11" t="e" vm="1">
        <f>'Students-heatmap'!I48</f>
        <v>#VALUE!</v>
      </c>
      <c r="AB28" s="11" t="e" vm="1">
        <f>'Students-heatmap'!J48</f>
        <v>#VALUE!</v>
      </c>
      <c r="AC28" s="11" t="e" vm="1">
        <f>'Students-heatmap'!K48</f>
        <v>#VALUE!</v>
      </c>
      <c r="AD28" s="11" t="e" vm="1">
        <f>'Students-heatmap'!L48</f>
        <v>#VALUE!</v>
      </c>
      <c r="AE28" s="11" t="e" vm="1">
        <f>'Students-heatmap'!M48</f>
        <v>#VALUE!</v>
      </c>
      <c r="AF28" s="11" t="e" vm="1">
        <f>'Students-heatmap'!N48</f>
        <v>#VALUE!</v>
      </c>
      <c r="AG28" s="19"/>
      <c r="AH28" s="19"/>
      <c r="AI28" s="19"/>
      <c r="AJ28" s="19"/>
      <c r="AK28" s="19"/>
      <c r="AL28" s="11" t="e" vm="1">
        <f>'Students-heatmap'!G60</f>
        <v>#VALUE!</v>
      </c>
      <c r="AM28" s="11" t="e" vm="1">
        <f>'Students-heatmap'!H60</f>
        <v>#VALUE!</v>
      </c>
      <c r="AN28" s="11" t="e" vm="1">
        <f>'Students-heatmap'!I60</f>
        <v>#VALUE!</v>
      </c>
      <c r="AO28" s="11" t="e" vm="1">
        <f>'Students-heatmap'!J60</f>
        <v>#VALUE!</v>
      </c>
      <c r="AP28" s="11" t="e" vm="1">
        <f>'Students-heatmap'!K60</f>
        <v>#VALUE!</v>
      </c>
      <c r="AQ28" s="11" t="e" vm="1">
        <f>'Students-heatmap'!L60</f>
        <v>#VALUE!</v>
      </c>
      <c r="AR28" s="11" t="e" vm="1">
        <f>'Students-heatmap'!M60</f>
        <v>#VALUE!</v>
      </c>
      <c r="AS28" s="11" t="e" vm="1">
        <f>'Students-heatmap'!N60</f>
        <v>#VALUE!</v>
      </c>
      <c r="AT28" s="19"/>
      <c r="AU28" s="19"/>
      <c r="AV28" s="19"/>
      <c r="AW28" s="19"/>
      <c r="AX28" s="11" t="e" vm="1">
        <f>'Students-heatmap'!G108</f>
        <v>#VALUE!</v>
      </c>
      <c r="AY28" s="11" t="e" vm="1">
        <f>'Students-heatmap'!H108</f>
        <v>#VALUE!</v>
      </c>
      <c r="AZ28" s="11" t="e" vm="1">
        <f>'Students-heatmap'!I108</f>
        <v>#VALUE!</v>
      </c>
      <c r="BA28" s="11" t="e" vm="1">
        <f>'Students-heatmap'!J108</f>
        <v>#VALUE!</v>
      </c>
      <c r="BB28" s="11" t="e" vm="1">
        <f>'Students-heatmap'!K108</f>
        <v>#VALUE!</v>
      </c>
      <c r="BC28" s="11" t="e" vm="1">
        <f>'Students-heatmap'!L108</f>
        <v>#VALUE!</v>
      </c>
      <c r="BD28" s="11" t="e" vm="1">
        <f>'Students-heatmap'!M108</f>
        <v>#VALUE!</v>
      </c>
      <c r="BE28" s="11" t="e" vm="1">
        <f>'Students-heatmap'!N108</f>
        <v>#VALUE!</v>
      </c>
      <c r="BF28" s="19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9"/>
      <c r="BR28" s="19"/>
      <c r="BS28" s="19"/>
      <c r="BT28" s="19"/>
      <c r="BU28" s="19"/>
      <c r="BV28" s="19"/>
    </row>
    <row r="29" spans="1:74" ht="18.75" x14ac:dyDescent="0.3">
      <c r="A29" s="12"/>
      <c r="B29" s="12"/>
      <c r="C29" s="12"/>
      <c r="D29" s="12"/>
      <c r="E29" s="12"/>
      <c r="F29" s="14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9"/>
      <c r="BR29" s="19"/>
      <c r="BS29" s="19"/>
      <c r="BT29" s="19"/>
      <c r="BU29" s="19"/>
      <c r="BV29" s="19"/>
    </row>
    <row r="30" spans="1:74" ht="18.75" customHeight="1" x14ac:dyDescent="0.3">
      <c r="A30" s="12"/>
      <c r="B30" s="12"/>
      <c r="C30" s="12"/>
      <c r="D30" s="12"/>
      <c r="E30" s="12"/>
      <c r="F30" s="14"/>
      <c r="G30" s="15"/>
      <c r="H30" s="14"/>
      <c r="I30" s="14"/>
      <c r="J30" s="18"/>
      <c r="K30" s="16"/>
      <c r="L30" s="16"/>
      <c r="M30" s="16"/>
      <c r="N30" s="16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9"/>
      <c r="BR30" s="19"/>
      <c r="BS30" s="19"/>
      <c r="BT30" s="19"/>
      <c r="BU30" s="19"/>
      <c r="BV30" s="19"/>
    </row>
    <row r="31" spans="1:74" ht="18.75" customHeight="1" x14ac:dyDescent="0.3">
      <c r="A31" s="12"/>
      <c r="B31" s="12"/>
      <c r="C31" s="12"/>
      <c r="D31" s="12"/>
      <c r="E31" s="12"/>
      <c r="F31" s="14"/>
      <c r="G31" s="15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9"/>
      <c r="BR31" s="19"/>
      <c r="BS31" s="19"/>
      <c r="BT31" s="19"/>
      <c r="BU31" s="19"/>
      <c r="BV31" s="19"/>
    </row>
    <row r="32" spans="1:74" x14ac:dyDescent="0.25">
      <c r="A32" s="12"/>
      <c r="B32" s="12"/>
      <c r="C32" s="12"/>
      <c r="D32" s="12"/>
      <c r="E32" s="12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9"/>
      <c r="BR32" s="19"/>
      <c r="BS32" s="19"/>
      <c r="BT32" s="19"/>
      <c r="BU32" s="19"/>
      <c r="BV32" s="19"/>
    </row>
    <row r="33" spans="1:74" x14ac:dyDescent="0.25">
      <c r="A33" s="12"/>
      <c r="B33" s="12"/>
      <c r="C33" s="12"/>
      <c r="D33" s="12"/>
      <c r="E33" s="12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9"/>
      <c r="BR33" s="19"/>
      <c r="BS33" s="19"/>
      <c r="BT33" s="19"/>
      <c r="BU33" s="19"/>
      <c r="BV33" s="19"/>
    </row>
    <row r="34" spans="1:74" x14ac:dyDescent="0.25">
      <c r="A34" s="12"/>
      <c r="B34" s="12"/>
      <c r="C34" s="12"/>
      <c r="D34" s="12"/>
      <c r="E34" s="12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9"/>
      <c r="BR34" s="19"/>
      <c r="BS34" s="19"/>
      <c r="BT34" s="19"/>
      <c r="BU34" s="19"/>
      <c r="BV34" s="19"/>
    </row>
    <row r="36" spans="1:74" ht="15" customHeight="1" x14ac:dyDescent="0.25"/>
    <row r="37" spans="1:74" ht="15" customHeight="1" x14ac:dyDescent="0.25"/>
    <row r="38" spans="1:74" ht="15" customHeight="1" x14ac:dyDescent="0.25">
      <c r="P38" s="10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</row>
    <row r="39" spans="1:74" ht="15" customHeight="1" x14ac:dyDescent="0.25"/>
    <row r="40" spans="1:74" ht="15" customHeight="1" x14ac:dyDescent="0.25"/>
    <row r="41" spans="1:74" ht="15" customHeight="1" x14ac:dyDescent="0.25"/>
    <row r="42" spans="1:74" ht="15" customHeight="1" x14ac:dyDescent="0.25"/>
    <row r="43" spans="1:74" ht="15" customHeight="1" x14ac:dyDescent="0.25"/>
    <row r="44" spans="1:74" ht="15" customHeight="1" x14ac:dyDescent="0.25"/>
    <row r="45" spans="1:74" ht="15" customHeight="1" x14ac:dyDescent="0.25"/>
    <row r="46" spans="1:74" ht="15" customHeight="1" x14ac:dyDescent="0.25"/>
    <row r="47" spans="1:74" ht="15" customHeight="1" x14ac:dyDescent="0.25"/>
    <row r="48" spans="1:74" ht="15" customHeight="1" x14ac:dyDescent="0.25"/>
    <row r="49" ht="15" customHeight="1" x14ac:dyDescent="0.25"/>
    <row r="50" ht="15" customHeight="1" x14ac:dyDescent="0.25"/>
  </sheetData>
  <sheetProtection pivotTables="0"/>
  <mergeCells count="19">
    <mergeCell ref="AX18:BE18"/>
    <mergeCell ref="BE2:BL2"/>
    <mergeCell ref="B18:C18"/>
    <mergeCell ref="B20:C20"/>
    <mergeCell ref="B22:C22"/>
    <mergeCell ref="B8:C8"/>
    <mergeCell ref="B10:C10"/>
    <mergeCell ref="B12:C12"/>
    <mergeCell ref="B14:C14"/>
    <mergeCell ref="B16:C16"/>
    <mergeCell ref="I2:P2"/>
    <mergeCell ref="U2:AB2"/>
    <mergeCell ref="AG2:AN2"/>
    <mergeCell ref="AS2:AZ2"/>
    <mergeCell ref="B24:C24"/>
    <mergeCell ref="Q38:AL38"/>
    <mergeCell ref="M18:T18"/>
    <mergeCell ref="Y18:AF18"/>
    <mergeCell ref="AL18:AS18"/>
  </mergeCells>
  <conditionalFormatting sqref="I3:P12">
    <cfRule type="colorScale" priority="8">
      <colorScale>
        <cfvo type="min"/>
        <cfvo type="percent" val="50"/>
        <cfvo type="max"/>
        <color theme="4" tint="-0.499984740745262"/>
        <color theme="4" tint="0.39997558519241921"/>
        <color theme="4" tint="0.79998168889431442"/>
      </colorScale>
    </cfRule>
  </conditionalFormatting>
  <conditionalFormatting sqref="M19:T28">
    <cfRule type="colorScale" priority="7">
      <colorScale>
        <cfvo type="min"/>
        <cfvo type="percent" val="50"/>
        <cfvo type="max"/>
        <color theme="4" tint="-0.499984740745262"/>
        <color theme="4" tint="0.39997558519241921"/>
        <color theme="4" tint="0.79998168889431442"/>
      </colorScale>
    </cfRule>
  </conditionalFormatting>
  <conditionalFormatting sqref="U3:AB12">
    <cfRule type="colorScale" priority="3">
      <colorScale>
        <cfvo type="min"/>
        <cfvo type="percent" val="50"/>
        <cfvo type="max"/>
        <color theme="4" tint="-0.499984740745262"/>
        <color theme="4" tint="0.39997558519241921"/>
        <color theme="4" tint="0.79998168889431442"/>
      </colorScale>
    </cfRule>
  </conditionalFormatting>
  <conditionalFormatting sqref="Y19:AF28">
    <cfRule type="colorScale" priority="6">
      <colorScale>
        <cfvo type="min"/>
        <cfvo type="percent" val="50"/>
        <cfvo type="max"/>
        <color theme="4" tint="-0.499984740745262"/>
        <color theme="4" tint="0.39997558519241921"/>
        <color theme="4" tint="0.79998168889431442"/>
      </colorScale>
    </cfRule>
  </conditionalFormatting>
  <conditionalFormatting sqref="AG3:AN12">
    <cfRule type="colorScale" priority="9">
      <colorScale>
        <cfvo type="min"/>
        <cfvo type="percent" val="50"/>
        <cfvo type="max"/>
        <color theme="4" tint="-0.499984740745262"/>
        <color theme="4" tint="0.39997558519241921"/>
        <color theme="4" tint="0.79998168889431442"/>
      </colorScale>
    </cfRule>
  </conditionalFormatting>
  <conditionalFormatting sqref="AL19:AS28">
    <cfRule type="colorScale" priority="5">
      <colorScale>
        <cfvo type="min"/>
        <cfvo type="percent" val="50"/>
        <cfvo type="max"/>
        <color theme="4" tint="-0.499984740745262"/>
        <color theme="4" tint="0.39997558519241921"/>
        <color theme="4" tint="0.79998168889431442"/>
      </colorScale>
    </cfRule>
  </conditionalFormatting>
  <conditionalFormatting sqref="AS3:AZ12">
    <cfRule type="colorScale" priority="2">
      <colorScale>
        <cfvo type="min"/>
        <cfvo type="percent" val="50"/>
        <cfvo type="max"/>
        <color theme="4" tint="-0.499984740745262"/>
        <color theme="4" tint="0.39997558519241921"/>
        <color theme="4" tint="0.79998168889431442"/>
      </colorScale>
    </cfRule>
  </conditionalFormatting>
  <conditionalFormatting sqref="AX19:BE28">
    <cfRule type="colorScale" priority="1">
      <colorScale>
        <cfvo type="min"/>
        <cfvo type="percent" val="50"/>
        <cfvo type="max"/>
        <color theme="4" tint="-0.499984740745262"/>
        <color theme="4" tint="0.39997558519241921"/>
        <color theme="4" tint="0.79998168889431442"/>
      </colorScale>
    </cfRule>
  </conditionalFormatting>
  <conditionalFormatting sqref="BE3:BL12">
    <cfRule type="colorScale" priority="4">
      <colorScale>
        <cfvo type="min"/>
        <cfvo type="percent" val="50"/>
        <cfvo type="max"/>
        <color theme="4" tint="-0.499984740745262"/>
        <color theme="4" tint="0.39997558519241921"/>
        <color theme="4" tint="0.79998168889431442"/>
      </colorScale>
    </cfRule>
  </conditionalFormatting>
  <pageMargins left="0.7" right="0.7" top="0.75" bottom="0.75" header="0.3" footer="0.3"/>
  <pageSetup orientation="portrait" r:id="rId10"/>
  <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346D2-149B-4BB1-9250-13E304B18F85}">
  <sheetPr codeName="Sheet2"/>
  <dimension ref="A1:T108"/>
  <sheetViews>
    <sheetView topLeftCell="A96" workbookViewId="0">
      <selection activeCell="P107" sqref="P107"/>
    </sheetView>
  </sheetViews>
  <sheetFormatPr defaultRowHeight="15" x14ac:dyDescent="0.25"/>
  <cols>
    <col min="1" max="1" width="8.5703125" bestFit="1" customWidth="1"/>
    <col min="2" max="2" width="10.42578125" bestFit="1" customWidth="1"/>
    <col min="3" max="3" width="7.140625" bestFit="1" customWidth="1"/>
    <col min="4" max="4" width="8.28515625" style="5" bestFit="1" customWidth="1"/>
    <col min="5" max="5" width="12" style="5" bestFit="1" customWidth="1"/>
    <col min="6" max="6" width="13.28515625" style="5" bestFit="1" customWidth="1"/>
    <col min="7" max="12" width="2.85546875" style="7" customWidth="1"/>
    <col min="13" max="14" width="2.85546875" style="1" customWidth="1"/>
  </cols>
  <sheetData>
    <row r="1" spans="1:20" x14ac:dyDescent="0.25">
      <c r="N1" s="4"/>
      <c r="S1" s="9">
        <v>0</v>
      </c>
      <c r="T1" t="e" vm="3">
        <v>#VALUE!</v>
      </c>
    </row>
    <row r="2" spans="1:20" x14ac:dyDescent="0.25">
      <c r="A2"/>
      <c r="B2"/>
      <c r="C2"/>
      <c r="D2" s="5"/>
      <c r="E2"/>
      <c r="F2" t="s">
        <v>14</v>
      </c>
      <c r="G2" s="2">
        <v>1</v>
      </c>
      <c r="H2" s="2">
        <v>2</v>
      </c>
      <c r="I2" s="2">
        <v>3</v>
      </c>
      <c r="J2" s="2">
        <v>4</v>
      </c>
      <c r="K2" s="2">
        <v>5</v>
      </c>
      <c r="L2" s="2">
        <v>6</v>
      </c>
      <c r="M2" s="2">
        <v>7</v>
      </c>
      <c r="N2" s="2">
        <v>8</v>
      </c>
      <c r="S2">
        <v>0.1</v>
      </c>
      <c r="T2" t="e" vm="4">
        <v>#VALUE!</v>
      </c>
    </row>
    <row r="3" spans="1:20" x14ac:dyDescent="0.25">
      <c r="F3">
        <v>1</v>
      </c>
      <c r="G3" s="8" t="e" cm="1" vm="1">
        <f t="array" ref="G3">_xlfn.LET(_xlpm.x,SUMIFS(heatmap[[Value]:[Value]],heatmap[[Name]:[Name]],$F$2,heatmap[[Column]:[Column]],G$2,heatmap[[Row]:[Row]],$F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3" s="8" t="e" cm="1" vm="1">
        <f t="array" ref="H3">_xlfn.LET(_xlpm.x,SUMIFS(heatmap[[Value]:[Value]],heatmap[[Name]:[Name]],$F$2,heatmap[[Column]:[Column]],H$2,heatmap[[Row]:[Row]],$F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3" s="8" t="e" cm="1" vm="1">
        <f t="array" ref="I3">_xlfn.LET(_xlpm.x,SUMIFS(heatmap[[Value]:[Value]],heatmap[[Name]:[Name]],$F$2,heatmap[[Column]:[Column]],I$2,heatmap[[Row]:[Row]],$F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3" s="8" t="e" cm="1" vm="1">
        <f t="array" ref="J3">_xlfn.LET(_xlpm.x,SUMIFS(heatmap[[Value]:[Value]],heatmap[[Name]:[Name]],$F$2,heatmap[[Column]:[Column]],J$2,heatmap[[Row]:[Row]],$F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3" s="8" t="e" cm="1" vm="1">
        <f t="array" ref="K3">_xlfn.LET(_xlpm.x,SUMIFS(heatmap[[Value]:[Value]],heatmap[[Name]:[Name]],$F$2,heatmap[[Column]:[Column]],K$2,heatmap[[Row]:[Row]],$F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3" s="8" t="e" cm="1" vm="1">
        <f t="array" ref="L3">_xlfn.LET(_xlpm.x,SUMIFS(heatmap[[Value]:[Value]],heatmap[[Name]:[Name]],$F$2,heatmap[[Column]:[Column]],L$2,heatmap[[Row]:[Row]],$F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3" s="8" t="e" cm="1" vm="1">
        <f t="array" ref="M3">_xlfn.LET(_xlpm.x,SUMIFS(heatmap[[Value]:[Value]],heatmap[[Name]:[Name]],$F$2,heatmap[[Column]:[Column]],M$2,heatmap[[Row]:[Row]],$F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3" s="8" t="e" cm="1" vm="1">
        <f t="array" ref="N3">_xlfn.LET(_xlpm.x,SUMIFS(heatmap[[Value]:[Value]],heatmap[[Name]:[Name]],$F$2,heatmap[[Column]:[Column]],N$2,heatmap[[Row]:[Row]],$F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S3">
        <v>0.2</v>
      </c>
      <c r="T3" t="e" vm="5">
        <v>#VALUE!</v>
      </c>
    </row>
    <row r="4" spans="1:20" x14ac:dyDescent="0.25">
      <c r="E4"/>
      <c r="F4">
        <v>2</v>
      </c>
      <c r="G4" s="8" t="e" cm="1" vm="1">
        <f t="array" ref="G4">_xlfn.LET(_xlpm.x,SUMIFS(heatmap[[Value]:[Value]],heatmap[[Name]:[Name]],$F$2,heatmap[[Column]:[Column]],G$2,heatmap[[Row]:[Row]],$F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4" s="8" t="e" cm="1" vm="1">
        <f t="array" ref="H4">_xlfn.LET(_xlpm.x,SUMIFS(heatmap[[Value]:[Value]],heatmap[[Name]:[Name]],$F$2,heatmap[[Column]:[Column]],H$2,heatmap[[Row]:[Row]],$F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4" s="8" t="e" cm="1" vm="1">
        <f t="array" ref="I4">_xlfn.LET(_xlpm.x,SUMIFS(heatmap[[Value]:[Value]],heatmap[[Name]:[Name]],$F$2,heatmap[[Column]:[Column]],I$2,heatmap[[Row]:[Row]],$F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4" s="8" t="e" cm="1" vm="1">
        <f t="array" ref="J4">_xlfn.LET(_xlpm.x,SUMIFS(heatmap[[Value]:[Value]],heatmap[[Name]:[Name]],$F$2,heatmap[[Column]:[Column]],J$2,heatmap[[Row]:[Row]],$F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4" s="8" t="e" cm="1" vm="1">
        <f t="array" ref="K4">_xlfn.LET(_xlpm.x,SUMIFS(heatmap[[Value]:[Value]],heatmap[[Name]:[Name]],$F$2,heatmap[[Column]:[Column]],K$2,heatmap[[Row]:[Row]],$F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4" s="8" t="e" cm="1" vm="1">
        <f t="array" ref="L4">_xlfn.LET(_xlpm.x,SUMIFS(heatmap[[Value]:[Value]],heatmap[[Name]:[Name]],$F$2,heatmap[[Column]:[Column]],L$2,heatmap[[Row]:[Row]],$F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4" s="8" t="e" cm="1" vm="1">
        <f t="array" ref="M4">_xlfn.LET(_xlpm.x,SUMIFS(heatmap[[Value]:[Value]],heatmap[[Name]:[Name]],$F$2,heatmap[[Column]:[Column]],M$2,heatmap[[Row]:[Row]],$F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4" s="8" t="e" cm="1" vm="1">
        <f t="array" ref="N4">_xlfn.LET(_xlpm.x,SUMIFS(heatmap[[Value]:[Value]],heatmap[[Name]:[Name]],$F$2,heatmap[[Column]:[Column]],N$2,heatmap[[Row]:[Row]],$F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S4">
        <v>0.3</v>
      </c>
      <c r="T4" t="e" vm="6">
        <v>#VALUE!</v>
      </c>
    </row>
    <row r="5" spans="1:20" x14ac:dyDescent="0.25">
      <c r="E5"/>
      <c r="F5">
        <v>3</v>
      </c>
      <c r="G5" s="8" t="e" cm="1" vm="1">
        <f t="array" ref="G5">_xlfn.LET(_xlpm.x,SUMIFS(heatmap[[Value]:[Value]],heatmap[[Name]:[Name]],$F$2,heatmap[[Column]:[Column]],G$2,heatmap[[Row]:[Row]],$F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5" s="8" t="e" cm="1" vm="1">
        <f t="array" ref="H5">_xlfn.LET(_xlpm.x,SUMIFS(heatmap[[Value]:[Value]],heatmap[[Name]:[Name]],$F$2,heatmap[[Column]:[Column]],H$2,heatmap[[Row]:[Row]],$F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5" s="8" t="e" cm="1" vm="1">
        <f t="array" ref="I5">_xlfn.LET(_xlpm.x,SUMIFS(heatmap[[Value]:[Value]],heatmap[[Name]:[Name]],$F$2,heatmap[[Column]:[Column]],I$2,heatmap[[Row]:[Row]],$F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5" s="8" t="e" cm="1" vm="1">
        <f t="array" ref="J5">_xlfn.LET(_xlpm.x,SUMIFS(heatmap[[Value]:[Value]],heatmap[[Name]:[Name]],$F$2,heatmap[[Column]:[Column]],J$2,heatmap[[Row]:[Row]],$F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5" s="8" t="e" cm="1" vm="1">
        <f t="array" ref="K5">_xlfn.LET(_xlpm.x,SUMIFS(heatmap[[Value]:[Value]],heatmap[[Name]:[Name]],$F$2,heatmap[[Column]:[Column]],K$2,heatmap[[Row]:[Row]],$F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5" s="8" t="e" cm="1" vm="1">
        <f t="array" ref="L5">_xlfn.LET(_xlpm.x,SUMIFS(heatmap[[Value]:[Value]],heatmap[[Name]:[Name]],$F$2,heatmap[[Column]:[Column]],L$2,heatmap[[Row]:[Row]],$F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5" s="8" t="e" cm="1" vm="1">
        <f t="array" ref="M5">_xlfn.LET(_xlpm.x,SUMIFS(heatmap[[Value]:[Value]],heatmap[[Name]:[Name]],$F$2,heatmap[[Column]:[Column]],M$2,heatmap[[Row]:[Row]],$F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5" s="8" t="e" cm="1" vm="1">
        <f t="array" ref="N5">_xlfn.LET(_xlpm.x,SUMIFS(heatmap[[Value]:[Value]],heatmap[[Name]:[Name]],$F$2,heatmap[[Column]:[Column]],N$2,heatmap[[Row]:[Row]],$F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S5">
        <v>0.4</v>
      </c>
      <c r="T5" t="e" vm="7">
        <v>#VALUE!</v>
      </c>
    </row>
    <row r="6" spans="1:20" x14ac:dyDescent="0.25">
      <c r="E6"/>
      <c r="F6">
        <v>4</v>
      </c>
      <c r="G6" s="8" t="e" cm="1" vm="1">
        <f t="array" ref="G6">_xlfn.LET(_xlpm.x,SUMIFS(heatmap[[Value]:[Value]],heatmap[[Name]:[Name]],$F$2,heatmap[[Column]:[Column]],G$2,heatmap[[Row]:[Row]],$F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6" s="8" t="e" cm="1" vm="1">
        <f t="array" ref="H6">_xlfn.LET(_xlpm.x,SUMIFS(heatmap[[Value]:[Value]],heatmap[[Name]:[Name]],$F$2,heatmap[[Column]:[Column]],H$2,heatmap[[Row]:[Row]],$F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6" s="8" t="e" cm="1" vm="1">
        <f t="array" ref="I6">_xlfn.LET(_xlpm.x,SUMIFS(heatmap[[Value]:[Value]],heatmap[[Name]:[Name]],$F$2,heatmap[[Column]:[Column]],I$2,heatmap[[Row]:[Row]],$F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6" s="8" t="e" cm="1" vm="1">
        <f t="array" ref="J6">_xlfn.LET(_xlpm.x,SUMIFS(heatmap[[Value]:[Value]],heatmap[[Name]:[Name]],$F$2,heatmap[[Column]:[Column]],J$2,heatmap[[Row]:[Row]],$F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6" s="8" t="e" cm="1" vm="1">
        <f t="array" ref="K6">_xlfn.LET(_xlpm.x,SUMIFS(heatmap[[Value]:[Value]],heatmap[[Name]:[Name]],$F$2,heatmap[[Column]:[Column]],K$2,heatmap[[Row]:[Row]],$F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6" s="8" t="e" cm="1" vm="1">
        <f t="array" ref="L6">_xlfn.LET(_xlpm.x,SUMIFS(heatmap[[Value]:[Value]],heatmap[[Name]:[Name]],$F$2,heatmap[[Column]:[Column]],L$2,heatmap[[Row]:[Row]],$F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6" s="8" t="e" cm="1" vm="1">
        <f t="array" ref="M6">_xlfn.LET(_xlpm.x,SUMIFS(heatmap[[Value]:[Value]],heatmap[[Name]:[Name]],$F$2,heatmap[[Column]:[Column]],M$2,heatmap[[Row]:[Row]],$F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6" s="8" t="e" cm="1" vm="1">
        <f t="array" ref="N6">_xlfn.LET(_xlpm.x,SUMIFS(heatmap[[Value]:[Value]],heatmap[[Name]:[Name]],$F$2,heatmap[[Column]:[Column]],N$2,heatmap[[Row]:[Row]],$F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S6">
        <v>0.5</v>
      </c>
      <c r="T6" t="e" vm="8">
        <v>#VALUE!</v>
      </c>
    </row>
    <row r="7" spans="1:20" x14ac:dyDescent="0.25">
      <c r="E7"/>
      <c r="F7">
        <v>5</v>
      </c>
      <c r="G7" s="8" t="e" cm="1" vm="1">
        <f t="array" ref="G7">_xlfn.LET(_xlpm.x,SUMIFS(heatmap[[Value]:[Value]],heatmap[[Name]:[Name]],$F$2,heatmap[[Column]:[Column]],G$2,heatmap[[Row]:[Row]],$F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7" s="8" t="e" cm="1" vm="1">
        <f t="array" ref="H7">_xlfn.LET(_xlpm.x,SUMIFS(heatmap[[Value]:[Value]],heatmap[[Name]:[Name]],$F$2,heatmap[[Column]:[Column]],H$2,heatmap[[Row]:[Row]],$F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7" s="8" t="e" cm="1" vm="1">
        <f t="array" ref="I7">_xlfn.LET(_xlpm.x,SUMIFS(heatmap[[Value]:[Value]],heatmap[[Name]:[Name]],$F$2,heatmap[[Column]:[Column]],I$2,heatmap[[Row]:[Row]],$F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7" s="8" t="e" cm="1" vm="1">
        <f t="array" ref="J7">_xlfn.LET(_xlpm.x,SUMIFS(heatmap[[Value]:[Value]],heatmap[[Name]:[Name]],$F$2,heatmap[[Column]:[Column]],J$2,heatmap[[Row]:[Row]],$F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7" s="8" t="e" cm="1" vm="1">
        <f t="array" ref="K7">_xlfn.LET(_xlpm.x,SUMIFS(heatmap[[Value]:[Value]],heatmap[[Name]:[Name]],$F$2,heatmap[[Column]:[Column]],K$2,heatmap[[Row]:[Row]],$F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7" s="8" t="e" cm="1" vm="1">
        <f t="array" ref="L7">_xlfn.LET(_xlpm.x,SUMIFS(heatmap[[Value]:[Value]],heatmap[[Name]:[Name]],$F$2,heatmap[[Column]:[Column]],L$2,heatmap[[Row]:[Row]],$F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7" s="8" t="e" cm="1" vm="1">
        <f t="array" ref="M7">_xlfn.LET(_xlpm.x,SUMIFS(heatmap[[Value]:[Value]],heatmap[[Name]:[Name]],$F$2,heatmap[[Column]:[Column]],M$2,heatmap[[Row]:[Row]],$F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7" s="8" t="e" cm="1" vm="1">
        <f t="array" ref="N7">_xlfn.LET(_xlpm.x,SUMIFS(heatmap[[Value]:[Value]],heatmap[[Name]:[Name]],$F$2,heatmap[[Column]:[Column]],N$2,heatmap[[Row]:[Row]],$F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S7">
        <v>0.6</v>
      </c>
      <c r="T7" t="e" vm="9">
        <v>#VALUE!</v>
      </c>
    </row>
    <row r="8" spans="1:20" x14ac:dyDescent="0.25">
      <c r="E8"/>
      <c r="F8">
        <v>6</v>
      </c>
      <c r="G8" s="8" t="e" cm="1" vm="1">
        <f t="array" ref="G8">_xlfn.LET(_xlpm.x,SUMIFS(heatmap[[Value]:[Value]],heatmap[[Name]:[Name]],$F$2,heatmap[[Column]:[Column]],G$2,heatmap[[Row]:[Row]],$F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8" s="8" t="e" cm="1" vm="1">
        <f t="array" ref="H8">_xlfn.LET(_xlpm.x,SUMIFS(heatmap[[Value]:[Value]],heatmap[[Name]:[Name]],$F$2,heatmap[[Column]:[Column]],H$2,heatmap[[Row]:[Row]],$F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8" s="8" t="e" cm="1" vm="1">
        <f t="array" ref="I8">_xlfn.LET(_xlpm.x,SUMIFS(heatmap[[Value]:[Value]],heatmap[[Name]:[Name]],$F$2,heatmap[[Column]:[Column]],I$2,heatmap[[Row]:[Row]],$F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8" s="8" t="e" cm="1" vm="1">
        <f t="array" ref="J8">_xlfn.LET(_xlpm.x,SUMIFS(heatmap[[Value]:[Value]],heatmap[[Name]:[Name]],$F$2,heatmap[[Column]:[Column]],J$2,heatmap[[Row]:[Row]],$F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8" s="8" t="e" cm="1" vm="1">
        <f t="array" ref="K8">_xlfn.LET(_xlpm.x,SUMIFS(heatmap[[Value]:[Value]],heatmap[[Name]:[Name]],$F$2,heatmap[[Column]:[Column]],K$2,heatmap[[Row]:[Row]],$F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8" s="8" t="e" cm="1" vm="1">
        <f t="array" ref="L8">_xlfn.LET(_xlpm.x,SUMIFS(heatmap[[Value]:[Value]],heatmap[[Name]:[Name]],$F$2,heatmap[[Column]:[Column]],L$2,heatmap[[Row]:[Row]],$F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8" s="8" t="e" cm="1" vm="1">
        <f t="array" ref="M8">_xlfn.LET(_xlpm.x,SUMIFS(heatmap[[Value]:[Value]],heatmap[[Name]:[Name]],$F$2,heatmap[[Column]:[Column]],M$2,heatmap[[Row]:[Row]],$F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8" s="8" t="e" cm="1" vm="1">
        <f t="array" ref="N8">_xlfn.LET(_xlpm.x,SUMIFS(heatmap[[Value]:[Value]],heatmap[[Name]:[Name]],$F$2,heatmap[[Column]:[Column]],N$2,heatmap[[Row]:[Row]],$F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S8">
        <v>0.7</v>
      </c>
      <c r="T8" t="e" vm="10">
        <v>#VALUE!</v>
      </c>
    </row>
    <row r="9" spans="1:20" x14ac:dyDescent="0.25">
      <c r="E9"/>
      <c r="F9">
        <v>7</v>
      </c>
      <c r="G9" s="8" t="e" cm="1" vm="1">
        <f t="array" ref="G9">_xlfn.LET(_xlpm.x,SUMIFS(heatmap[[Value]:[Value]],heatmap[[Name]:[Name]],$F$2,heatmap[[Column]:[Column]],G$2,heatmap[[Row]:[Row]],$F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9" s="8" t="e" cm="1" vm="1">
        <f t="array" ref="H9">_xlfn.LET(_xlpm.x,SUMIFS(heatmap[[Value]:[Value]],heatmap[[Name]:[Name]],$F$2,heatmap[[Column]:[Column]],H$2,heatmap[[Row]:[Row]],$F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9" s="8" t="e" cm="1" vm="1">
        <f t="array" ref="I9">_xlfn.LET(_xlpm.x,SUMIFS(heatmap[[Value]:[Value]],heatmap[[Name]:[Name]],$F$2,heatmap[[Column]:[Column]],I$2,heatmap[[Row]:[Row]],$F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9" s="8" t="e" cm="1" vm="1">
        <f t="array" ref="J9">_xlfn.LET(_xlpm.x,SUMIFS(heatmap[[Value]:[Value]],heatmap[[Name]:[Name]],$F$2,heatmap[[Column]:[Column]],J$2,heatmap[[Row]:[Row]],$F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9" s="8" t="e" cm="1" vm="1">
        <f t="array" ref="K9">_xlfn.LET(_xlpm.x,SUMIFS(heatmap[[Value]:[Value]],heatmap[[Name]:[Name]],$F$2,heatmap[[Column]:[Column]],K$2,heatmap[[Row]:[Row]],$F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9" s="8" t="e" cm="1" vm="1">
        <f t="array" ref="L9">_xlfn.LET(_xlpm.x,SUMIFS(heatmap[[Value]:[Value]],heatmap[[Name]:[Name]],$F$2,heatmap[[Column]:[Column]],L$2,heatmap[[Row]:[Row]],$F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9" s="8" t="e" cm="1" vm="1">
        <f t="array" ref="M9">_xlfn.LET(_xlpm.x,SUMIFS(heatmap[[Value]:[Value]],heatmap[[Name]:[Name]],$F$2,heatmap[[Column]:[Column]],M$2,heatmap[[Row]:[Row]],$F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9" s="8" t="e" cm="1" vm="1">
        <f t="array" ref="N9">_xlfn.LET(_xlpm.x,SUMIFS(heatmap[[Value]:[Value]],heatmap[[Name]:[Name]],$F$2,heatmap[[Column]:[Column]],N$2,heatmap[[Row]:[Row]],$F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S9">
        <v>0.8</v>
      </c>
      <c r="T9" t="e" vm="11">
        <v>#VALUE!</v>
      </c>
    </row>
    <row r="10" spans="1:20" x14ac:dyDescent="0.25">
      <c r="E10"/>
      <c r="F10">
        <v>8</v>
      </c>
      <c r="G10" s="8" t="e" cm="1" vm="1">
        <f t="array" ref="G10">_xlfn.LET(_xlpm.x,SUMIFS(heatmap[[Value]:[Value]],heatmap[[Name]:[Name]],$F$2,heatmap[[Column]:[Column]],G$2,heatmap[[Row]:[Row]],$F10)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0" s="8" t="e" cm="1" vm="1">
        <f t="array" ref="H10">_xlfn.LET(_xlpm.x,SUMIFS(heatmap[[Value]:[Value]],heatmap[[Name]:[Name]],$F$2,heatmap[[Column]:[Column]],H$2,heatmap[[Row]:[Row]],$F10)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0" s="8" t="e" cm="1" vm="1">
        <f t="array" ref="I10">_xlfn.LET(_xlpm.x,SUMIFS(heatmap[[Value]:[Value]],heatmap[[Name]:[Name]],$F$2,heatmap[[Column]:[Column]],I$2,heatmap[[Row]:[Row]],$F10)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0" s="8" t="e" cm="1" vm="1">
        <f t="array" ref="J10">_xlfn.LET(_xlpm.x,SUMIFS(heatmap[[Value]:[Value]],heatmap[[Name]:[Name]],$F$2,heatmap[[Column]:[Column]],J$2,heatmap[[Row]:[Row]],$F10)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0" s="8" t="e" cm="1" vm="1">
        <f t="array" ref="K10">_xlfn.LET(_xlpm.x,SUMIFS(heatmap[[Value]:[Value]],heatmap[[Name]:[Name]],$F$2,heatmap[[Column]:[Column]],K$2,heatmap[[Row]:[Row]],$F10)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0" s="8" t="e" cm="1" vm="1">
        <f t="array" ref="L10">_xlfn.LET(_xlpm.x,SUMIFS(heatmap[[Value]:[Value]],heatmap[[Name]:[Name]],$F$2,heatmap[[Column]:[Column]],L$2,heatmap[[Row]:[Row]],$F10)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0" s="8" t="e" cm="1" vm="1">
        <f t="array" ref="M10">_xlfn.LET(_xlpm.x,SUMIFS(heatmap[[Value]:[Value]],heatmap[[Name]:[Name]],$F$2,heatmap[[Column]:[Column]],M$2,heatmap[[Row]:[Row]],$F10)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0" s="8" t="e" cm="1" vm="1">
        <f t="array" ref="N10">_xlfn.LET(_xlpm.x,SUMIFS(heatmap[[Value]:[Value]],heatmap[[Name]:[Name]],$F$2,heatmap[[Column]:[Column]],N$2,heatmap[[Row]:[Row]],$F10)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S10">
        <v>0.9</v>
      </c>
      <c r="T10" t="e" vm="12">
        <v>#VALUE!</v>
      </c>
    </row>
    <row r="11" spans="1:20" x14ac:dyDescent="0.25">
      <c r="E11"/>
      <c r="F11">
        <v>9</v>
      </c>
      <c r="G11" s="8" t="e" cm="1" vm="1">
        <f t="array" ref="G11">_xlfn.LET(_xlpm.x,SUMIFS(heatmap[[Value]:[Value]],heatmap[[Name]:[Name]],$F$2,heatmap[[Column]:[Column]],G$2,heatmap[[Row]:[Row]],$F11)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1" s="8" t="e" cm="1" vm="1">
        <f t="array" ref="H11">_xlfn.LET(_xlpm.x,SUMIFS(heatmap[[Value]:[Value]],heatmap[[Name]:[Name]],$F$2,heatmap[[Column]:[Column]],H$2,heatmap[[Row]:[Row]],$F11)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1" s="8" t="e" cm="1" vm="1">
        <f t="array" ref="I11">_xlfn.LET(_xlpm.x,SUMIFS(heatmap[[Value]:[Value]],heatmap[[Name]:[Name]],$F$2,heatmap[[Column]:[Column]],I$2,heatmap[[Row]:[Row]],$F11)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1" s="8" t="e" cm="1" vm="1">
        <f t="array" ref="J11">_xlfn.LET(_xlpm.x,SUMIFS(heatmap[[Value]:[Value]],heatmap[[Name]:[Name]],$F$2,heatmap[[Column]:[Column]],J$2,heatmap[[Row]:[Row]],$F11)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1" s="8" t="e" cm="1" vm="1">
        <f t="array" ref="K11">_xlfn.LET(_xlpm.x,SUMIFS(heatmap[[Value]:[Value]],heatmap[[Name]:[Name]],$F$2,heatmap[[Column]:[Column]],K$2,heatmap[[Row]:[Row]],$F11)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1" s="8" t="e" cm="1" vm="1">
        <f t="array" ref="L11">_xlfn.LET(_xlpm.x,SUMIFS(heatmap[[Value]:[Value]],heatmap[[Name]:[Name]],$F$2,heatmap[[Column]:[Column]],L$2,heatmap[[Row]:[Row]],$F11)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1" s="8" t="e" cm="1" vm="1">
        <f t="array" ref="M11">_xlfn.LET(_xlpm.x,SUMIFS(heatmap[[Value]:[Value]],heatmap[[Name]:[Name]],$F$2,heatmap[[Column]:[Column]],M$2,heatmap[[Row]:[Row]],$F11)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1" s="8" t="e" cm="1" vm="1">
        <f t="array" ref="N11">_xlfn.LET(_xlpm.x,SUMIFS(heatmap[[Value]:[Value]],heatmap[[Name]:[Name]],$F$2,heatmap[[Column]:[Column]],N$2,heatmap[[Row]:[Row]],$F11)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S11">
        <v>1</v>
      </c>
      <c r="T11" t="e" vm="12">
        <v>#VALUE!</v>
      </c>
    </row>
    <row r="12" spans="1:20" x14ac:dyDescent="0.25">
      <c r="E12"/>
      <c r="F12">
        <v>10</v>
      </c>
      <c r="G12" s="8" t="e" cm="1" vm="1">
        <f t="array" ref="G12">_xlfn.LET(_xlpm.x,SUMIFS(heatmap[[Value]:[Value]],heatmap[[Name]:[Name]],$F$2,heatmap[[Column]:[Column]],G$2,heatmap[[Row]:[Row]],$F12)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2" s="8" t="e" cm="1" vm="1">
        <f t="array" ref="H12">_xlfn.LET(_xlpm.x,SUMIFS(heatmap[[Value]:[Value]],heatmap[[Name]:[Name]],$F$2,heatmap[[Column]:[Column]],H$2,heatmap[[Row]:[Row]],$F12)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2" s="8" t="e" cm="1" vm="1">
        <f t="array" ref="I12">_xlfn.LET(_xlpm.x,SUMIFS(heatmap[[Value]:[Value]],heatmap[[Name]:[Name]],$F$2,heatmap[[Column]:[Column]],I$2,heatmap[[Row]:[Row]],$F12)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2" s="8" t="e" cm="1" vm="1">
        <f t="array" ref="J12">_xlfn.LET(_xlpm.x,SUMIFS(heatmap[[Value]:[Value]],heatmap[[Name]:[Name]],$F$2,heatmap[[Column]:[Column]],J$2,heatmap[[Row]:[Row]],$F12)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2" s="8" t="e" cm="1" vm="1">
        <f t="array" ref="K12">_xlfn.LET(_xlpm.x,SUMIFS(heatmap[[Value]:[Value]],heatmap[[Name]:[Name]],$F$2,heatmap[[Column]:[Column]],K$2,heatmap[[Row]:[Row]],$F12)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2" s="8" t="e" cm="1" vm="1">
        <f t="array" ref="L12">_xlfn.LET(_xlpm.x,SUMIFS(heatmap[[Value]:[Value]],heatmap[[Name]:[Name]],$F$2,heatmap[[Column]:[Column]],L$2,heatmap[[Row]:[Row]],$F12)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2" s="8" t="e" cm="1" vm="1">
        <f t="array" ref="M12">_xlfn.LET(_xlpm.x,SUMIFS(heatmap[[Value]:[Value]],heatmap[[Name]:[Name]],$F$2,heatmap[[Column]:[Column]],M$2,heatmap[[Row]:[Row]],$F12)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2" s="8" t="e" cm="1" vm="1">
        <f t="array" ref="N12">_xlfn.LET(_xlpm.x,SUMIFS(heatmap[[Value]:[Value]],heatmap[[Name]:[Name]],$F$2,heatmap[[Column]:[Column]],N$2,heatmap[[Row]:[Row]],$F12)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3" spans="1:20" x14ac:dyDescent="0.25">
      <c r="E13"/>
      <c r="F13"/>
      <c r="G13" s="1"/>
      <c r="H13" s="1"/>
      <c r="I13" s="1"/>
      <c r="J13" s="1"/>
      <c r="K13" s="1"/>
      <c r="L13" s="1"/>
    </row>
    <row r="14" spans="1:20" x14ac:dyDescent="0.25">
      <c r="E14"/>
      <c r="F14" t="s">
        <v>15</v>
      </c>
      <c r="G14" s="2">
        <v>1</v>
      </c>
      <c r="H14" s="2">
        <v>2</v>
      </c>
      <c r="I14" s="2">
        <v>3</v>
      </c>
      <c r="J14" s="2">
        <v>4</v>
      </c>
      <c r="K14" s="2">
        <v>5</v>
      </c>
      <c r="L14" s="2">
        <v>6</v>
      </c>
      <c r="M14" s="2">
        <v>7</v>
      </c>
      <c r="N14" s="2">
        <v>8</v>
      </c>
    </row>
    <row r="15" spans="1:20" x14ac:dyDescent="0.25">
      <c r="E15"/>
      <c r="F15">
        <v>1</v>
      </c>
      <c r="G15" s="8" t="e" cm="1" vm="1">
        <f t="array" ref="G15">_xlfn.LET(_xlpm.x,SUMIFS(heatmap[[Value]:[Value]],heatmap[[Name]:[Name]],$F$14,heatmap[[Column]:[Column]],G$2,heatmap[[Row]:[Row]],$F15)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5" s="8" t="e" cm="1" vm="1">
        <f t="array" ref="H15">_xlfn.LET(_xlpm.x,SUMIFS(heatmap[[Value]:[Value]],heatmap[[Name]:[Name]],$F$14,heatmap[[Column]:[Column]],H$2,heatmap[[Row]:[Row]],$F15)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5" s="8" t="e" cm="1" vm="1">
        <f t="array" ref="I15">_xlfn.LET(_xlpm.x,SUMIFS(heatmap[[Value]:[Value]],heatmap[[Name]:[Name]],$F$14,heatmap[[Column]:[Column]],I$2,heatmap[[Row]:[Row]],$F15)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5" s="8" t="e" cm="1" vm="1">
        <f t="array" ref="J15">_xlfn.LET(_xlpm.x,SUMIFS(heatmap[[Value]:[Value]],heatmap[[Name]:[Name]],$F$14,heatmap[[Column]:[Column]],J$2,heatmap[[Row]:[Row]],$F15)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5" s="8" t="e" cm="1" vm="1">
        <f t="array" ref="K15">_xlfn.LET(_xlpm.x,SUMIFS(heatmap[[Value]:[Value]],heatmap[[Name]:[Name]],$F$14,heatmap[[Column]:[Column]],K$2,heatmap[[Row]:[Row]],$F15)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5" s="8" t="e" cm="1" vm="1">
        <f t="array" ref="L15">_xlfn.LET(_xlpm.x,SUMIFS(heatmap[[Value]:[Value]],heatmap[[Name]:[Name]],$F$14,heatmap[[Column]:[Column]],L$2,heatmap[[Row]:[Row]],$F15)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5" s="8" t="e" cm="1" vm="1">
        <f t="array" ref="M15">_xlfn.LET(_xlpm.x,SUMIFS(heatmap[[Value]:[Value]],heatmap[[Name]:[Name]],$F$14,heatmap[[Column]:[Column]],M$2,heatmap[[Row]:[Row]],$F15)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5" s="8" t="e" cm="1" vm="1">
        <f t="array" ref="N15">_xlfn.LET(_xlpm.x,SUMIFS(heatmap[[Value]:[Value]],heatmap[[Name]:[Name]],$F$14,heatmap[[Column]:[Column]],N$2,heatmap[[Row]:[Row]],$F15)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6" spans="1:20" x14ac:dyDescent="0.25">
      <c r="E16"/>
      <c r="F16">
        <v>2</v>
      </c>
      <c r="G16" s="8" t="e" cm="1" vm="1">
        <f t="array" ref="G16">_xlfn.LET(_xlpm.x,SUMIFS(heatmap[[Value]:[Value]],heatmap[[Name]:[Name]],$F$14,heatmap[[Column]:[Column]],G$2,heatmap[[Row]:[Row]],$F16)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6" s="8" t="e" cm="1" vm="1">
        <f t="array" ref="H16">_xlfn.LET(_xlpm.x,SUMIFS(heatmap[[Value]:[Value]],heatmap[[Name]:[Name]],$F$14,heatmap[[Column]:[Column]],H$2,heatmap[[Row]:[Row]],$F16)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6" s="8" t="e" cm="1" vm="1">
        <f t="array" ref="I16">_xlfn.LET(_xlpm.x,SUMIFS(heatmap[[Value]:[Value]],heatmap[[Name]:[Name]],$F$14,heatmap[[Column]:[Column]],I$2,heatmap[[Row]:[Row]],$F16)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6" s="8" t="e" cm="1" vm="1">
        <f t="array" ref="J16">_xlfn.LET(_xlpm.x,SUMIFS(heatmap[[Value]:[Value]],heatmap[[Name]:[Name]],$F$14,heatmap[[Column]:[Column]],J$2,heatmap[[Row]:[Row]],$F16)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6" s="8" t="e" cm="1" vm="1">
        <f t="array" ref="K16">_xlfn.LET(_xlpm.x,SUMIFS(heatmap[[Value]:[Value]],heatmap[[Name]:[Name]],$F$14,heatmap[[Column]:[Column]],K$2,heatmap[[Row]:[Row]],$F16)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6" s="8" t="e" cm="1" vm="1">
        <f t="array" ref="L16">_xlfn.LET(_xlpm.x,SUMIFS(heatmap[[Value]:[Value]],heatmap[[Name]:[Name]],$F$14,heatmap[[Column]:[Column]],L$2,heatmap[[Row]:[Row]],$F16)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6" s="8" t="e" cm="1" vm="1">
        <f t="array" ref="M16">_xlfn.LET(_xlpm.x,SUMIFS(heatmap[[Value]:[Value]],heatmap[[Name]:[Name]],$F$14,heatmap[[Column]:[Column]],M$2,heatmap[[Row]:[Row]],$F16)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6" s="8" t="e" cm="1" vm="1">
        <f t="array" ref="N16">_xlfn.LET(_xlpm.x,SUMIFS(heatmap[[Value]:[Value]],heatmap[[Name]:[Name]],$F$14,heatmap[[Column]:[Column]],N$2,heatmap[[Row]:[Row]],$F16)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7" spans="5:14" x14ac:dyDescent="0.25">
      <c r="E17"/>
      <c r="F17">
        <v>3</v>
      </c>
      <c r="G17" s="8" t="e" cm="1" vm="1">
        <f t="array" ref="G17">_xlfn.LET(_xlpm.x,SUMIFS(heatmap[[Value]:[Value]],heatmap[[Name]:[Name]],$F$14,heatmap[[Column]:[Column]],G$2,heatmap[[Row]:[Row]],$F17)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7" s="8" t="e" cm="1" vm="1">
        <f t="array" ref="H17">_xlfn.LET(_xlpm.x,SUMIFS(heatmap[[Value]:[Value]],heatmap[[Name]:[Name]],$F$14,heatmap[[Column]:[Column]],H$2,heatmap[[Row]:[Row]],$F17)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7" s="8" t="e" cm="1" vm="1">
        <f t="array" ref="I17">_xlfn.LET(_xlpm.x,SUMIFS(heatmap[[Value]:[Value]],heatmap[[Name]:[Name]],$F$14,heatmap[[Column]:[Column]],I$2,heatmap[[Row]:[Row]],$F17)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7" s="8" t="e" cm="1" vm="1">
        <f t="array" ref="J17">_xlfn.LET(_xlpm.x,SUMIFS(heatmap[[Value]:[Value]],heatmap[[Name]:[Name]],$F$14,heatmap[[Column]:[Column]],J$2,heatmap[[Row]:[Row]],$F17)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7" s="8" t="e" cm="1" vm="1">
        <f t="array" ref="K17">_xlfn.LET(_xlpm.x,SUMIFS(heatmap[[Value]:[Value]],heatmap[[Name]:[Name]],$F$14,heatmap[[Column]:[Column]],K$2,heatmap[[Row]:[Row]],$F17)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7" s="8" t="e" cm="1" vm="1">
        <f t="array" ref="L17">_xlfn.LET(_xlpm.x,SUMIFS(heatmap[[Value]:[Value]],heatmap[[Name]:[Name]],$F$14,heatmap[[Column]:[Column]],L$2,heatmap[[Row]:[Row]],$F17)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7" s="8" t="e" cm="1" vm="1">
        <f t="array" ref="M17">_xlfn.LET(_xlpm.x,SUMIFS(heatmap[[Value]:[Value]],heatmap[[Name]:[Name]],$F$14,heatmap[[Column]:[Column]],M$2,heatmap[[Row]:[Row]],$F17)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7" s="8" t="e" cm="1" vm="1">
        <f t="array" ref="N17">_xlfn.LET(_xlpm.x,SUMIFS(heatmap[[Value]:[Value]],heatmap[[Name]:[Name]],$F$14,heatmap[[Column]:[Column]],N$2,heatmap[[Row]:[Row]],$F17)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8" spans="5:14" x14ac:dyDescent="0.25">
      <c r="E18"/>
      <c r="F18">
        <v>4</v>
      </c>
      <c r="G18" s="8" t="e" cm="1" vm="1">
        <f t="array" ref="G18">_xlfn.LET(_xlpm.x,SUMIFS(heatmap[[Value]:[Value]],heatmap[[Name]:[Name]],$F$14,heatmap[[Column]:[Column]],G$2,heatmap[[Row]:[Row]],$F18)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8" s="8" t="e" cm="1" vm="1">
        <f t="array" ref="H18">_xlfn.LET(_xlpm.x,SUMIFS(heatmap[[Value]:[Value]],heatmap[[Name]:[Name]],$F$14,heatmap[[Column]:[Column]],H$2,heatmap[[Row]:[Row]],$F18)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8" s="8" t="e" cm="1" vm="1">
        <f t="array" ref="I18">_xlfn.LET(_xlpm.x,SUMIFS(heatmap[[Value]:[Value]],heatmap[[Name]:[Name]],$F$14,heatmap[[Column]:[Column]],I$2,heatmap[[Row]:[Row]],$F18)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8" s="8" t="e" cm="1" vm="1">
        <f t="array" ref="J18">_xlfn.LET(_xlpm.x,SUMIFS(heatmap[[Value]:[Value]],heatmap[[Name]:[Name]],$F$14,heatmap[[Column]:[Column]],J$2,heatmap[[Row]:[Row]],$F18)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8" s="8" t="e" cm="1" vm="1">
        <f t="array" ref="K18">_xlfn.LET(_xlpm.x,SUMIFS(heatmap[[Value]:[Value]],heatmap[[Name]:[Name]],$F$14,heatmap[[Column]:[Column]],K$2,heatmap[[Row]:[Row]],$F18)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8" s="8" t="e" cm="1" vm="1">
        <f t="array" ref="L18">_xlfn.LET(_xlpm.x,SUMIFS(heatmap[[Value]:[Value]],heatmap[[Name]:[Name]],$F$14,heatmap[[Column]:[Column]],L$2,heatmap[[Row]:[Row]],$F18)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8" s="8" t="e" cm="1" vm="1">
        <f t="array" ref="M18">_xlfn.LET(_xlpm.x,SUMIFS(heatmap[[Value]:[Value]],heatmap[[Name]:[Name]],$F$14,heatmap[[Column]:[Column]],M$2,heatmap[[Row]:[Row]],$F18)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8" s="8" t="e" cm="1" vm="1">
        <f t="array" ref="N18">_xlfn.LET(_xlpm.x,SUMIFS(heatmap[[Value]:[Value]],heatmap[[Name]:[Name]],$F$14,heatmap[[Column]:[Column]],N$2,heatmap[[Row]:[Row]],$F18)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9" spans="5:14" x14ac:dyDescent="0.25">
      <c r="E19"/>
      <c r="F19">
        <v>5</v>
      </c>
      <c r="G19" s="8" t="e" cm="1" vm="1">
        <f t="array" ref="G19">_xlfn.LET(_xlpm.x,SUMIFS(heatmap[[Value]:[Value]],heatmap[[Name]:[Name]],$F$14,heatmap[[Column]:[Column]],G$2,heatmap[[Row]:[Row]],$F19)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9" s="8" t="e" cm="1" vm="1">
        <f t="array" ref="H19">_xlfn.LET(_xlpm.x,SUMIFS(heatmap[[Value]:[Value]],heatmap[[Name]:[Name]],$F$14,heatmap[[Column]:[Column]],H$2,heatmap[[Row]:[Row]],$F19)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9" s="8" t="e" cm="1" vm="1">
        <f t="array" ref="I19">_xlfn.LET(_xlpm.x,SUMIFS(heatmap[[Value]:[Value]],heatmap[[Name]:[Name]],$F$14,heatmap[[Column]:[Column]],I$2,heatmap[[Row]:[Row]],$F19)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9" s="8" t="e" cm="1" vm="1">
        <f t="array" ref="J19">_xlfn.LET(_xlpm.x,SUMIFS(heatmap[[Value]:[Value]],heatmap[[Name]:[Name]],$F$14,heatmap[[Column]:[Column]],J$2,heatmap[[Row]:[Row]],$F19)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9" s="8" t="e" cm="1" vm="1">
        <f t="array" ref="K19">_xlfn.LET(_xlpm.x,SUMIFS(heatmap[[Value]:[Value]],heatmap[[Name]:[Name]],$F$14,heatmap[[Column]:[Column]],K$2,heatmap[[Row]:[Row]],$F19)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9" s="8" t="e" cm="1" vm="1">
        <f t="array" ref="L19">_xlfn.LET(_xlpm.x,SUMIFS(heatmap[[Value]:[Value]],heatmap[[Name]:[Name]],$F$14,heatmap[[Column]:[Column]],L$2,heatmap[[Row]:[Row]],$F19)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9" s="8" t="e" cm="1" vm="1">
        <f t="array" ref="M19">_xlfn.LET(_xlpm.x,SUMIFS(heatmap[[Value]:[Value]],heatmap[[Name]:[Name]],$F$14,heatmap[[Column]:[Column]],M$2,heatmap[[Row]:[Row]],$F19)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9" s="8" t="e" cm="1" vm="1">
        <f t="array" ref="N19">_xlfn.LET(_xlpm.x,SUMIFS(heatmap[[Value]:[Value]],heatmap[[Name]:[Name]],$F$14,heatmap[[Column]:[Column]],N$2,heatmap[[Row]:[Row]],$F19)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20" spans="5:14" x14ac:dyDescent="0.25">
      <c r="E20"/>
      <c r="F20">
        <v>6</v>
      </c>
      <c r="G20" s="8" t="e" cm="1" vm="1">
        <f t="array" ref="G20">_xlfn.LET(_xlpm.x,SUMIFS(heatmap[[Value]:[Value]],heatmap[[Name]:[Name]],$F$14,heatmap[[Column]:[Column]],G$2,heatmap[[Row]:[Row]],$F20)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20" s="8" t="e" cm="1" vm="1">
        <f t="array" ref="H20">_xlfn.LET(_xlpm.x,SUMIFS(heatmap[[Value]:[Value]],heatmap[[Name]:[Name]],$F$14,heatmap[[Column]:[Column]],H$2,heatmap[[Row]:[Row]],$F20)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20" s="8" t="e" cm="1" vm="1">
        <f t="array" ref="I20">_xlfn.LET(_xlpm.x,SUMIFS(heatmap[[Value]:[Value]],heatmap[[Name]:[Name]],$F$14,heatmap[[Column]:[Column]],I$2,heatmap[[Row]:[Row]],$F20)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20" s="8" t="e" cm="1" vm="1">
        <f t="array" ref="J20">_xlfn.LET(_xlpm.x,SUMIFS(heatmap[[Value]:[Value]],heatmap[[Name]:[Name]],$F$14,heatmap[[Column]:[Column]],J$2,heatmap[[Row]:[Row]],$F20)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20" s="8" t="e" cm="1" vm="1">
        <f t="array" ref="K20">_xlfn.LET(_xlpm.x,SUMIFS(heatmap[[Value]:[Value]],heatmap[[Name]:[Name]],$F$14,heatmap[[Column]:[Column]],K$2,heatmap[[Row]:[Row]],$F20)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20" s="8" t="e" cm="1" vm="1">
        <f t="array" ref="L20">_xlfn.LET(_xlpm.x,SUMIFS(heatmap[[Value]:[Value]],heatmap[[Name]:[Name]],$F$14,heatmap[[Column]:[Column]],L$2,heatmap[[Row]:[Row]],$F20)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20" s="8" t="e" cm="1" vm="1">
        <f t="array" ref="M20">_xlfn.LET(_xlpm.x,SUMIFS(heatmap[[Value]:[Value]],heatmap[[Name]:[Name]],$F$14,heatmap[[Column]:[Column]],M$2,heatmap[[Row]:[Row]],$F20)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20" s="8" t="e" cm="1" vm="1">
        <f t="array" ref="N20">_xlfn.LET(_xlpm.x,SUMIFS(heatmap[[Value]:[Value]],heatmap[[Name]:[Name]],$F$14,heatmap[[Column]:[Column]],N$2,heatmap[[Row]:[Row]],$F20)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21" spans="5:14" x14ac:dyDescent="0.25">
      <c r="E21"/>
      <c r="F21">
        <v>7</v>
      </c>
      <c r="G21" s="8" t="e" cm="1" vm="1">
        <f t="array" ref="G21">_xlfn.LET(_xlpm.x,SUMIFS(heatmap[[Value]:[Value]],heatmap[[Name]:[Name]],$F$14,heatmap[[Column]:[Column]],G$2,heatmap[[Row]:[Row]],$F21)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21" s="8" t="e" cm="1" vm="1">
        <f t="array" ref="H21">_xlfn.LET(_xlpm.x,SUMIFS(heatmap[[Value]:[Value]],heatmap[[Name]:[Name]],$F$14,heatmap[[Column]:[Column]],H$2,heatmap[[Row]:[Row]],$F21)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21" s="8" t="e" cm="1" vm="1">
        <f t="array" ref="I21">_xlfn.LET(_xlpm.x,SUMIFS(heatmap[[Value]:[Value]],heatmap[[Name]:[Name]],$F$14,heatmap[[Column]:[Column]],I$2,heatmap[[Row]:[Row]],$F21)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21" s="8" t="e" cm="1" vm="1">
        <f t="array" ref="J21">_xlfn.LET(_xlpm.x,SUMIFS(heatmap[[Value]:[Value]],heatmap[[Name]:[Name]],$F$14,heatmap[[Column]:[Column]],J$2,heatmap[[Row]:[Row]],$F21)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21" s="8" t="e" cm="1" vm="1">
        <f t="array" ref="K21">_xlfn.LET(_xlpm.x,SUMIFS(heatmap[[Value]:[Value]],heatmap[[Name]:[Name]],$F$14,heatmap[[Column]:[Column]],K$2,heatmap[[Row]:[Row]],$F21)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21" s="8" t="e" cm="1" vm="1">
        <f t="array" ref="L21">_xlfn.LET(_xlpm.x,SUMIFS(heatmap[[Value]:[Value]],heatmap[[Name]:[Name]],$F$14,heatmap[[Column]:[Column]],L$2,heatmap[[Row]:[Row]],$F21)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21" s="8" t="e" cm="1" vm="1">
        <f t="array" ref="M21">_xlfn.LET(_xlpm.x,SUMIFS(heatmap[[Value]:[Value]],heatmap[[Name]:[Name]],$F$14,heatmap[[Column]:[Column]],M$2,heatmap[[Row]:[Row]],$F21)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21" s="8" t="e" cm="1" vm="1">
        <f t="array" ref="N21">_xlfn.LET(_xlpm.x,SUMIFS(heatmap[[Value]:[Value]],heatmap[[Name]:[Name]],$F$14,heatmap[[Column]:[Column]],N$2,heatmap[[Row]:[Row]],$F21)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22" spans="5:14" x14ac:dyDescent="0.25">
      <c r="E22"/>
      <c r="F22">
        <v>8</v>
      </c>
      <c r="G22" s="8" t="e" cm="1" vm="1">
        <f t="array" ref="G22">_xlfn.LET(_xlpm.x,SUMIFS(heatmap[[Value]:[Value]],heatmap[[Name]:[Name]],$F$14,heatmap[[Column]:[Column]],G$2,heatmap[[Row]:[Row]],$F22)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22" s="8" t="e" cm="1" vm="1">
        <f t="array" ref="H22">_xlfn.LET(_xlpm.x,SUMIFS(heatmap[[Value]:[Value]],heatmap[[Name]:[Name]],$F$14,heatmap[[Column]:[Column]],H$2,heatmap[[Row]:[Row]],$F22)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22" s="8" t="e" cm="1" vm="1">
        <f t="array" ref="I22">_xlfn.LET(_xlpm.x,SUMIFS(heatmap[[Value]:[Value]],heatmap[[Name]:[Name]],$F$14,heatmap[[Column]:[Column]],I$2,heatmap[[Row]:[Row]],$F22)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22" s="8" t="e" cm="1" vm="1">
        <f t="array" ref="J22">_xlfn.LET(_xlpm.x,SUMIFS(heatmap[[Value]:[Value]],heatmap[[Name]:[Name]],$F$14,heatmap[[Column]:[Column]],J$2,heatmap[[Row]:[Row]],$F22)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22" s="8" t="e" cm="1" vm="1">
        <f t="array" ref="K22">_xlfn.LET(_xlpm.x,SUMIFS(heatmap[[Value]:[Value]],heatmap[[Name]:[Name]],$F$14,heatmap[[Column]:[Column]],K$2,heatmap[[Row]:[Row]],$F22)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22" s="8" t="e" cm="1" vm="1">
        <f t="array" ref="L22">_xlfn.LET(_xlpm.x,SUMIFS(heatmap[[Value]:[Value]],heatmap[[Name]:[Name]],$F$14,heatmap[[Column]:[Column]],L$2,heatmap[[Row]:[Row]],$F22)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22" s="8" t="e" cm="1" vm="1">
        <f t="array" ref="M22">_xlfn.LET(_xlpm.x,SUMIFS(heatmap[[Value]:[Value]],heatmap[[Name]:[Name]],$F$14,heatmap[[Column]:[Column]],M$2,heatmap[[Row]:[Row]],$F22)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22" s="8" t="e" cm="1" vm="1">
        <f t="array" ref="N22">_xlfn.LET(_xlpm.x,SUMIFS(heatmap[[Value]:[Value]],heatmap[[Name]:[Name]],$F$14,heatmap[[Column]:[Column]],N$2,heatmap[[Row]:[Row]],$F22)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23" spans="5:14" x14ac:dyDescent="0.25">
      <c r="E23"/>
      <c r="F23">
        <v>9</v>
      </c>
      <c r="G23" s="8" t="e" cm="1" vm="1">
        <f t="array" ref="G23">_xlfn.LET(_xlpm.x,SUMIFS(heatmap[[Value]:[Value]],heatmap[[Name]:[Name]],$F$14,heatmap[[Column]:[Column]],G$2,heatmap[[Row]:[Row]],$F23)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23" s="8" t="e" cm="1" vm="1">
        <f t="array" ref="H23">_xlfn.LET(_xlpm.x,SUMIFS(heatmap[[Value]:[Value]],heatmap[[Name]:[Name]],$F$14,heatmap[[Column]:[Column]],H$2,heatmap[[Row]:[Row]],$F23)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23" s="8" t="e" cm="1" vm="1">
        <f t="array" ref="I23">_xlfn.LET(_xlpm.x,SUMIFS(heatmap[[Value]:[Value]],heatmap[[Name]:[Name]],$F$14,heatmap[[Column]:[Column]],I$2,heatmap[[Row]:[Row]],$F23)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23" s="8" t="e" cm="1" vm="1">
        <f t="array" ref="J23">_xlfn.LET(_xlpm.x,SUMIFS(heatmap[[Value]:[Value]],heatmap[[Name]:[Name]],$F$14,heatmap[[Column]:[Column]],J$2,heatmap[[Row]:[Row]],$F23)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23" s="8" t="e" cm="1" vm="1">
        <f t="array" ref="K23">_xlfn.LET(_xlpm.x,SUMIFS(heatmap[[Value]:[Value]],heatmap[[Name]:[Name]],$F$14,heatmap[[Column]:[Column]],K$2,heatmap[[Row]:[Row]],$F23)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23" s="8" t="e" cm="1" vm="1">
        <f t="array" ref="L23">_xlfn.LET(_xlpm.x,SUMIFS(heatmap[[Value]:[Value]],heatmap[[Name]:[Name]],$F$14,heatmap[[Column]:[Column]],L$2,heatmap[[Row]:[Row]],$F23)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23" s="8" t="e" cm="1" vm="1">
        <f t="array" ref="M23">_xlfn.LET(_xlpm.x,SUMIFS(heatmap[[Value]:[Value]],heatmap[[Name]:[Name]],$F$14,heatmap[[Column]:[Column]],M$2,heatmap[[Row]:[Row]],$F23)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23" s="8" t="e" cm="1" vm="1">
        <f t="array" ref="N23">_xlfn.LET(_xlpm.x,SUMIFS(heatmap[[Value]:[Value]],heatmap[[Name]:[Name]],$F$14,heatmap[[Column]:[Column]],N$2,heatmap[[Row]:[Row]],$F23)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24" spans="5:14" x14ac:dyDescent="0.25">
      <c r="E24"/>
      <c r="F24">
        <v>10</v>
      </c>
      <c r="G24" s="8" t="e" cm="1" vm="1">
        <f t="array" ref="G24">_xlfn.LET(_xlpm.x,SUMIFS(heatmap[[Value]:[Value]],heatmap[[Name]:[Name]],$F$14,heatmap[[Column]:[Column]],G$2,heatmap[[Row]:[Row]],$F24)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24" s="8" t="e" cm="1" vm="1">
        <f t="array" ref="H24">_xlfn.LET(_xlpm.x,SUMIFS(heatmap[[Value]:[Value]],heatmap[[Name]:[Name]],$F$14,heatmap[[Column]:[Column]],H$2,heatmap[[Row]:[Row]],$F24)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24" s="8" t="e" cm="1" vm="1">
        <f t="array" ref="I24">_xlfn.LET(_xlpm.x,SUMIFS(heatmap[[Value]:[Value]],heatmap[[Name]:[Name]],$F$14,heatmap[[Column]:[Column]],I$2,heatmap[[Row]:[Row]],$F24)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24" s="8" t="e" cm="1" vm="1">
        <f t="array" ref="J24">_xlfn.LET(_xlpm.x,SUMIFS(heatmap[[Value]:[Value]],heatmap[[Name]:[Name]],$F$14,heatmap[[Column]:[Column]],J$2,heatmap[[Row]:[Row]],$F24)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24" s="8" t="e" cm="1" vm="1">
        <f t="array" ref="K24">_xlfn.LET(_xlpm.x,SUMIFS(heatmap[[Value]:[Value]],heatmap[[Name]:[Name]],$F$14,heatmap[[Column]:[Column]],K$2,heatmap[[Row]:[Row]],$F24)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24" s="8" t="e" cm="1" vm="1">
        <f t="array" ref="L24">_xlfn.LET(_xlpm.x,SUMIFS(heatmap[[Value]:[Value]],heatmap[[Name]:[Name]],$F$14,heatmap[[Column]:[Column]],L$2,heatmap[[Row]:[Row]],$F24)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24" s="8" t="e" cm="1" vm="1">
        <f t="array" ref="M24">_xlfn.LET(_xlpm.x,SUMIFS(heatmap[[Value]:[Value]],heatmap[[Name]:[Name]],$F$14,heatmap[[Column]:[Column]],M$2,heatmap[[Row]:[Row]],$F24)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24" s="8" t="e" cm="1" vm="1">
        <f t="array" ref="N24">_xlfn.LET(_xlpm.x,SUMIFS(heatmap[[Value]:[Value]],heatmap[[Name]:[Name]],$F$14,heatmap[[Column]:[Column]],N$2,heatmap[[Row]:[Row]],$F24)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25" spans="5:14" x14ac:dyDescent="0.25">
      <c r="E25"/>
      <c r="F25"/>
      <c r="G25" s="1"/>
      <c r="H25" s="1"/>
      <c r="I25" s="1"/>
      <c r="J25" s="1"/>
      <c r="K25" s="1"/>
      <c r="L25" s="1"/>
    </row>
    <row r="26" spans="5:14" x14ac:dyDescent="0.25">
      <c r="E26"/>
      <c r="F26" t="s">
        <v>18</v>
      </c>
      <c r="G26" s="2">
        <v>1</v>
      </c>
      <c r="H26" s="2">
        <v>2</v>
      </c>
      <c r="I26" s="2">
        <v>3</v>
      </c>
      <c r="J26" s="2">
        <v>4</v>
      </c>
      <c r="K26" s="2">
        <v>5</v>
      </c>
      <c r="L26" s="2">
        <v>6</v>
      </c>
      <c r="M26" s="2">
        <v>7</v>
      </c>
      <c r="N26" s="2">
        <v>8</v>
      </c>
    </row>
    <row r="27" spans="5:14" x14ac:dyDescent="0.25">
      <c r="E27"/>
      <c r="F27">
        <v>1</v>
      </c>
      <c r="G27" s="8" t="e" cm="1" vm="1">
        <f t="array" ref="G27">_xlfn.LET(_xlpm.x,SUMIFS(heatmap[[Value]:[Value]],heatmap[[Name]:[Name]],$F$26,heatmap[[Column]:[Column]],G$2,heatmap[[Row]:[Row]],$F27)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27" s="8" t="e" cm="1" vm="1">
        <f t="array" ref="H27">_xlfn.LET(_xlpm.x,SUMIFS(heatmap[[Value]:[Value]],heatmap[[Name]:[Name]],$F$26,heatmap[[Column]:[Column]],H$2,heatmap[[Row]:[Row]],$F27)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27" s="8" t="e" cm="1" vm="1">
        <f t="array" ref="I27">_xlfn.LET(_xlpm.x,SUMIFS(heatmap[[Value]:[Value]],heatmap[[Name]:[Name]],$F$26,heatmap[[Column]:[Column]],I$2,heatmap[[Row]:[Row]],$F27)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27" s="8" t="e" cm="1" vm="1">
        <f t="array" ref="J27">_xlfn.LET(_xlpm.x,SUMIFS(heatmap[[Value]:[Value]],heatmap[[Name]:[Name]],$F$26,heatmap[[Column]:[Column]],J$2,heatmap[[Row]:[Row]],$F27)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27" s="8" t="e" cm="1" vm="1">
        <f t="array" ref="K27">_xlfn.LET(_xlpm.x,SUMIFS(heatmap[[Value]:[Value]],heatmap[[Name]:[Name]],$F$26,heatmap[[Column]:[Column]],K$2,heatmap[[Row]:[Row]],$F27)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27" s="8" t="e" cm="1" vm="1">
        <f t="array" ref="L27">_xlfn.LET(_xlpm.x,SUMIFS(heatmap[[Value]:[Value]],heatmap[[Name]:[Name]],$F$26,heatmap[[Column]:[Column]],L$2,heatmap[[Row]:[Row]],$F27)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27" s="8" t="e" cm="1" vm="1">
        <f t="array" ref="M27">_xlfn.LET(_xlpm.x,SUMIFS(heatmap[[Value]:[Value]],heatmap[[Name]:[Name]],$F$26,heatmap[[Column]:[Column]],M$2,heatmap[[Row]:[Row]],$F27)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27" s="8" t="e" cm="1" vm="1">
        <f t="array" ref="N27">_xlfn.LET(_xlpm.x,SUMIFS(heatmap[[Value]:[Value]],heatmap[[Name]:[Name]],$F$26,heatmap[[Column]:[Column]],N$2,heatmap[[Row]:[Row]],$F27)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28" spans="5:14" x14ac:dyDescent="0.25">
      <c r="E28"/>
      <c r="F28">
        <v>2</v>
      </c>
      <c r="G28" s="8" t="e" cm="1" vm="1">
        <f t="array" ref="G28">_xlfn.LET(_xlpm.x,SUMIFS(heatmap[[Value]:[Value]],heatmap[[Name]:[Name]],$F$26,heatmap[[Column]:[Column]],G$2,heatmap[[Row]:[Row]],$F28)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28" s="8" t="e" cm="1" vm="1">
        <f t="array" ref="H28">_xlfn.LET(_xlpm.x,SUMIFS(heatmap[[Value]:[Value]],heatmap[[Name]:[Name]],$F$26,heatmap[[Column]:[Column]],H$2,heatmap[[Row]:[Row]],$F28)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28" s="8" t="e" cm="1" vm="1">
        <f t="array" ref="I28">_xlfn.LET(_xlpm.x,SUMIFS(heatmap[[Value]:[Value]],heatmap[[Name]:[Name]],$F$26,heatmap[[Column]:[Column]],I$2,heatmap[[Row]:[Row]],$F28)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28" s="8" t="e" cm="1" vm="1">
        <f t="array" ref="J28">_xlfn.LET(_xlpm.x,SUMIFS(heatmap[[Value]:[Value]],heatmap[[Name]:[Name]],$F$26,heatmap[[Column]:[Column]],J$2,heatmap[[Row]:[Row]],$F28)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28" s="8" t="e" cm="1" vm="1">
        <f t="array" ref="K28">_xlfn.LET(_xlpm.x,SUMIFS(heatmap[[Value]:[Value]],heatmap[[Name]:[Name]],$F$26,heatmap[[Column]:[Column]],K$2,heatmap[[Row]:[Row]],$F28)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28" s="8" t="e" cm="1" vm="1">
        <f t="array" ref="L28">_xlfn.LET(_xlpm.x,SUMIFS(heatmap[[Value]:[Value]],heatmap[[Name]:[Name]],$F$26,heatmap[[Column]:[Column]],L$2,heatmap[[Row]:[Row]],$F28)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28" s="8" t="e" cm="1" vm="1">
        <f t="array" ref="M28">_xlfn.LET(_xlpm.x,SUMIFS(heatmap[[Value]:[Value]],heatmap[[Name]:[Name]],$F$26,heatmap[[Column]:[Column]],M$2,heatmap[[Row]:[Row]],$F28)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28" s="8" t="e" cm="1" vm="1">
        <f t="array" ref="N28">_xlfn.LET(_xlpm.x,SUMIFS(heatmap[[Value]:[Value]],heatmap[[Name]:[Name]],$F$26,heatmap[[Column]:[Column]],N$2,heatmap[[Row]:[Row]],$F28)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29" spans="5:14" x14ac:dyDescent="0.25">
      <c r="E29"/>
      <c r="F29">
        <v>3</v>
      </c>
      <c r="G29" s="8" t="e" cm="1" vm="1">
        <f t="array" ref="G29">_xlfn.LET(_xlpm.x,SUMIFS(heatmap[[Value]:[Value]],heatmap[[Name]:[Name]],$F$26,heatmap[[Column]:[Column]],G$2,heatmap[[Row]:[Row]],$F29)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29" s="8" t="e" cm="1" vm="1">
        <f t="array" ref="H29">_xlfn.LET(_xlpm.x,SUMIFS(heatmap[[Value]:[Value]],heatmap[[Name]:[Name]],$F$26,heatmap[[Column]:[Column]],H$2,heatmap[[Row]:[Row]],$F29)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29" s="8" t="e" cm="1" vm="1">
        <f t="array" ref="I29">_xlfn.LET(_xlpm.x,SUMIFS(heatmap[[Value]:[Value]],heatmap[[Name]:[Name]],$F$26,heatmap[[Column]:[Column]],I$2,heatmap[[Row]:[Row]],$F29)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29" s="8" t="e" cm="1" vm="1">
        <f t="array" ref="J29">_xlfn.LET(_xlpm.x,SUMIFS(heatmap[[Value]:[Value]],heatmap[[Name]:[Name]],$F$26,heatmap[[Column]:[Column]],J$2,heatmap[[Row]:[Row]],$F29)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29" s="8" t="e" cm="1" vm="1">
        <f t="array" ref="K29">_xlfn.LET(_xlpm.x,SUMIFS(heatmap[[Value]:[Value]],heatmap[[Name]:[Name]],$F$26,heatmap[[Column]:[Column]],K$2,heatmap[[Row]:[Row]],$F29)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29" s="8" t="e" cm="1" vm="1">
        <f t="array" ref="L29">_xlfn.LET(_xlpm.x,SUMIFS(heatmap[[Value]:[Value]],heatmap[[Name]:[Name]],$F$26,heatmap[[Column]:[Column]],L$2,heatmap[[Row]:[Row]],$F29)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29" s="8" t="e" cm="1" vm="1">
        <f t="array" ref="M29">_xlfn.LET(_xlpm.x,SUMIFS(heatmap[[Value]:[Value]],heatmap[[Name]:[Name]],$F$26,heatmap[[Column]:[Column]],M$2,heatmap[[Row]:[Row]],$F29)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29" s="8" t="e" cm="1" vm="1">
        <f t="array" ref="N29">_xlfn.LET(_xlpm.x,SUMIFS(heatmap[[Value]:[Value]],heatmap[[Name]:[Name]],$F$26,heatmap[[Column]:[Column]],N$2,heatmap[[Row]:[Row]],$F29)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30" spans="5:14" x14ac:dyDescent="0.25">
      <c r="E30"/>
      <c r="F30">
        <v>4</v>
      </c>
      <c r="G30" s="8" t="e" cm="1" vm="1">
        <f t="array" ref="G30">_xlfn.LET(_xlpm.x,SUMIFS(heatmap[[Value]:[Value]],heatmap[[Name]:[Name]],$F$26,heatmap[[Column]:[Column]],G$2,heatmap[[Row]:[Row]],$F30)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30" s="8" t="e" cm="1" vm="1">
        <f t="array" ref="H30">_xlfn.LET(_xlpm.x,SUMIFS(heatmap[[Value]:[Value]],heatmap[[Name]:[Name]],$F$26,heatmap[[Column]:[Column]],H$2,heatmap[[Row]:[Row]],$F30)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30" s="8" t="e" cm="1" vm="1">
        <f t="array" ref="I30">_xlfn.LET(_xlpm.x,SUMIFS(heatmap[[Value]:[Value]],heatmap[[Name]:[Name]],$F$26,heatmap[[Column]:[Column]],I$2,heatmap[[Row]:[Row]],$F30)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30" s="8" t="e" cm="1" vm="1">
        <f t="array" ref="J30">_xlfn.LET(_xlpm.x,SUMIFS(heatmap[[Value]:[Value]],heatmap[[Name]:[Name]],$F$26,heatmap[[Column]:[Column]],J$2,heatmap[[Row]:[Row]],$F30)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30" s="8" t="e" cm="1" vm="1">
        <f t="array" ref="K30">_xlfn.LET(_xlpm.x,SUMIFS(heatmap[[Value]:[Value]],heatmap[[Name]:[Name]],$F$26,heatmap[[Column]:[Column]],K$2,heatmap[[Row]:[Row]],$F30)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30" s="8" t="e" cm="1" vm="1">
        <f t="array" ref="L30">_xlfn.LET(_xlpm.x,SUMIFS(heatmap[[Value]:[Value]],heatmap[[Name]:[Name]],$F$26,heatmap[[Column]:[Column]],L$2,heatmap[[Row]:[Row]],$F30)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30" s="8" t="e" cm="1" vm="1">
        <f t="array" ref="M30">_xlfn.LET(_xlpm.x,SUMIFS(heatmap[[Value]:[Value]],heatmap[[Name]:[Name]],$F$26,heatmap[[Column]:[Column]],M$2,heatmap[[Row]:[Row]],$F30)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30" s="8" t="e" cm="1" vm="1">
        <f t="array" ref="N30">_xlfn.LET(_xlpm.x,SUMIFS(heatmap[[Value]:[Value]],heatmap[[Name]:[Name]],$F$26,heatmap[[Column]:[Column]],N$2,heatmap[[Row]:[Row]],$F30)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31" spans="5:14" x14ac:dyDescent="0.25">
      <c r="E31"/>
      <c r="F31">
        <v>5</v>
      </c>
      <c r="G31" s="8" t="e" cm="1" vm="1">
        <f t="array" ref="G31">_xlfn.LET(_xlpm.x,SUMIFS(heatmap[[Value]:[Value]],heatmap[[Name]:[Name]],$F$26,heatmap[[Column]:[Column]],G$2,heatmap[[Row]:[Row]],$F31)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31" s="8" t="e" cm="1" vm="1">
        <f t="array" ref="H31">_xlfn.LET(_xlpm.x,SUMIFS(heatmap[[Value]:[Value]],heatmap[[Name]:[Name]],$F$26,heatmap[[Column]:[Column]],H$2,heatmap[[Row]:[Row]],$F31)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31" s="8" t="e" cm="1" vm="1">
        <f t="array" ref="I31">_xlfn.LET(_xlpm.x,SUMIFS(heatmap[[Value]:[Value]],heatmap[[Name]:[Name]],$F$26,heatmap[[Column]:[Column]],I$2,heatmap[[Row]:[Row]],$F31)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31" s="8" t="e" cm="1" vm="1">
        <f t="array" ref="J31">_xlfn.LET(_xlpm.x,SUMIFS(heatmap[[Value]:[Value]],heatmap[[Name]:[Name]],$F$26,heatmap[[Column]:[Column]],J$2,heatmap[[Row]:[Row]],$F31)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31" s="8" t="e" cm="1" vm="1">
        <f t="array" ref="K31">_xlfn.LET(_xlpm.x,SUMIFS(heatmap[[Value]:[Value]],heatmap[[Name]:[Name]],$F$26,heatmap[[Column]:[Column]],K$2,heatmap[[Row]:[Row]],$F31)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31" s="8" t="e" cm="1" vm="1">
        <f t="array" ref="L31">_xlfn.LET(_xlpm.x,SUMIFS(heatmap[[Value]:[Value]],heatmap[[Name]:[Name]],$F$26,heatmap[[Column]:[Column]],L$2,heatmap[[Row]:[Row]],$F31)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31" s="8" t="e" cm="1" vm="1">
        <f t="array" ref="M31">_xlfn.LET(_xlpm.x,SUMIFS(heatmap[[Value]:[Value]],heatmap[[Name]:[Name]],$F$26,heatmap[[Column]:[Column]],M$2,heatmap[[Row]:[Row]],$F31)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31" s="8" t="e" cm="1" vm="1">
        <f t="array" ref="N31">_xlfn.LET(_xlpm.x,SUMIFS(heatmap[[Value]:[Value]],heatmap[[Name]:[Name]],$F$26,heatmap[[Column]:[Column]],N$2,heatmap[[Row]:[Row]],$F31)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32" spans="5:14" x14ac:dyDescent="0.25">
      <c r="E32"/>
      <c r="F32">
        <v>6</v>
      </c>
      <c r="G32" s="8" t="e" cm="1" vm="1">
        <f t="array" ref="G32">_xlfn.LET(_xlpm.x,SUMIFS(heatmap[[Value]:[Value]],heatmap[[Name]:[Name]],$F$26,heatmap[[Column]:[Column]],G$2,heatmap[[Row]:[Row]],$F32)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32" s="8" t="e" cm="1" vm="1">
        <f t="array" ref="H32">_xlfn.LET(_xlpm.x,SUMIFS(heatmap[[Value]:[Value]],heatmap[[Name]:[Name]],$F$26,heatmap[[Column]:[Column]],H$2,heatmap[[Row]:[Row]],$F32)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32" s="8" t="e" cm="1" vm="1">
        <f t="array" ref="I32">_xlfn.LET(_xlpm.x,SUMIFS(heatmap[[Value]:[Value]],heatmap[[Name]:[Name]],$F$26,heatmap[[Column]:[Column]],I$2,heatmap[[Row]:[Row]],$F32)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32" s="8" t="e" cm="1" vm="1">
        <f t="array" ref="J32">_xlfn.LET(_xlpm.x,SUMIFS(heatmap[[Value]:[Value]],heatmap[[Name]:[Name]],$F$26,heatmap[[Column]:[Column]],J$2,heatmap[[Row]:[Row]],$F32)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32" s="8" t="e" cm="1" vm="1">
        <f t="array" ref="K32">_xlfn.LET(_xlpm.x,SUMIFS(heatmap[[Value]:[Value]],heatmap[[Name]:[Name]],$F$26,heatmap[[Column]:[Column]],K$2,heatmap[[Row]:[Row]],$F32)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32" s="8" t="e" cm="1" vm="1">
        <f t="array" ref="L32">_xlfn.LET(_xlpm.x,SUMIFS(heatmap[[Value]:[Value]],heatmap[[Name]:[Name]],$F$26,heatmap[[Column]:[Column]],L$2,heatmap[[Row]:[Row]],$F32)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32" s="8" t="e" cm="1" vm="1">
        <f t="array" ref="M32">_xlfn.LET(_xlpm.x,SUMIFS(heatmap[[Value]:[Value]],heatmap[[Name]:[Name]],$F$26,heatmap[[Column]:[Column]],M$2,heatmap[[Row]:[Row]],$F32)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32" s="8" t="e" cm="1" vm="1">
        <f t="array" ref="N32">_xlfn.LET(_xlpm.x,SUMIFS(heatmap[[Value]:[Value]],heatmap[[Name]:[Name]],$F$26,heatmap[[Column]:[Column]],N$2,heatmap[[Row]:[Row]],$F32)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33" spans="5:14" x14ac:dyDescent="0.25">
      <c r="E33"/>
      <c r="F33">
        <v>7</v>
      </c>
      <c r="G33" s="8" t="e" cm="1" vm="1">
        <f t="array" ref="G33">_xlfn.LET(_xlpm.x,SUMIFS(heatmap[[Value]:[Value]],heatmap[[Name]:[Name]],$F$26,heatmap[[Column]:[Column]],G$2,heatmap[[Row]:[Row]],$F33)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33" s="8" t="e" cm="1" vm="1">
        <f t="array" ref="H33">_xlfn.LET(_xlpm.x,SUMIFS(heatmap[[Value]:[Value]],heatmap[[Name]:[Name]],$F$26,heatmap[[Column]:[Column]],H$2,heatmap[[Row]:[Row]],$F33)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33" s="8" t="e" cm="1" vm="1">
        <f t="array" ref="I33">_xlfn.LET(_xlpm.x,SUMIFS(heatmap[[Value]:[Value]],heatmap[[Name]:[Name]],$F$26,heatmap[[Column]:[Column]],I$2,heatmap[[Row]:[Row]],$F33)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33" s="8" t="e" cm="1" vm="1">
        <f t="array" ref="J33">_xlfn.LET(_xlpm.x,SUMIFS(heatmap[[Value]:[Value]],heatmap[[Name]:[Name]],$F$26,heatmap[[Column]:[Column]],J$2,heatmap[[Row]:[Row]],$F33)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33" s="8" t="e" cm="1" vm="1">
        <f t="array" ref="K33">_xlfn.LET(_xlpm.x,SUMIFS(heatmap[[Value]:[Value]],heatmap[[Name]:[Name]],$F$26,heatmap[[Column]:[Column]],K$2,heatmap[[Row]:[Row]],$F33)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33" s="8" t="e" cm="1" vm="1">
        <f t="array" ref="L33">_xlfn.LET(_xlpm.x,SUMIFS(heatmap[[Value]:[Value]],heatmap[[Name]:[Name]],$F$26,heatmap[[Column]:[Column]],L$2,heatmap[[Row]:[Row]],$F33)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33" s="8" t="e" cm="1" vm="1">
        <f t="array" ref="M33">_xlfn.LET(_xlpm.x,SUMIFS(heatmap[[Value]:[Value]],heatmap[[Name]:[Name]],$F$26,heatmap[[Column]:[Column]],M$2,heatmap[[Row]:[Row]],$F33)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33" s="8" t="e" cm="1" vm="1">
        <f t="array" ref="N33">_xlfn.LET(_xlpm.x,SUMIFS(heatmap[[Value]:[Value]],heatmap[[Name]:[Name]],$F$26,heatmap[[Column]:[Column]],N$2,heatmap[[Row]:[Row]],$F33)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34" spans="5:14" x14ac:dyDescent="0.25">
      <c r="E34"/>
      <c r="F34">
        <v>8</v>
      </c>
      <c r="G34" s="8" t="e" cm="1" vm="1">
        <f t="array" ref="G34">_xlfn.LET(_xlpm.x,SUMIFS(heatmap[[Value]:[Value]],heatmap[[Name]:[Name]],$F$26,heatmap[[Column]:[Column]],G$2,heatmap[[Row]:[Row]],$F34)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34" s="8" t="e" cm="1" vm="1">
        <f t="array" ref="H34">_xlfn.LET(_xlpm.x,SUMIFS(heatmap[[Value]:[Value]],heatmap[[Name]:[Name]],$F$26,heatmap[[Column]:[Column]],H$2,heatmap[[Row]:[Row]],$F34)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34" s="8" t="e" cm="1" vm="1">
        <f t="array" ref="I34">_xlfn.LET(_xlpm.x,SUMIFS(heatmap[[Value]:[Value]],heatmap[[Name]:[Name]],$F$26,heatmap[[Column]:[Column]],I$2,heatmap[[Row]:[Row]],$F34)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34" s="8" t="e" cm="1" vm="1">
        <f t="array" ref="J34">_xlfn.LET(_xlpm.x,SUMIFS(heatmap[[Value]:[Value]],heatmap[[Name]:[Name]],$F$26,heatmap[[Column]:[Column]],J$2,heatmap[[Row]:[Row]],$F34)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34" s="8" t="e" cm="1" vm="1">
        <f t="array" ref="K34">_xlfn.LET(_xlpm.x,SUMIFS(heatmap[[Value]:[Value]],heatmap[[Name]:[Name]],$F$26,heatmap[[Column]:[Column]],K$2,heatmap[[Row]:[Row]],$F34)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34" s="8" t="e" cm="1" vm="1">
        <f t="array" ref="L34">_xlfn.LET(_xlpm.x,SUMIFS(heatmap[[Value]:[Value]],heatmap[[Name]:[Name]],$F$26,heatmap[[Column]:[Column]],L$2,heatmap[[Row]:[Row]],$F34)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34" s="8" t="e" cm="1" vm="1">
        <f t="array" ref="M34">_xlfn.LET(_xlpm.x,SUMIFS(heatmap[[Value]:[Value]],heatmap[[Name]:[Name]],$F$26,heatmap[[Column]:[Column]],M$2,heatmap[[Row]:[Row]],$F34)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34" s="8" t="e" cm="1" vm="1">
        <f t="array" ref="N34">_xlfn.LET(_xlpm.x,SUMIFS(heatmap[[Value]:[Value]],heatmap[[Name]:[Name]],$F$26,heatmap[[Column]:[Column]],N$2,heatmap[[Row]:[Row]],$F34)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35" spans="5:14" x14ac:dyDescent="0.25">
      <c r="E35"/>
      <c r="F35">
        <v>9</v>
      </c>
      <c r="G35" s="8" t="e" cm="1" vm="1">
        <f t="array" ref="G35">_xlfn.LET(_xlpm.x,SUMIFS(heatmap[[Value]:[Value]],heatmap[[Name]:[Name]],$F$26,heatmap[[Column]:[Column]],G$2,heatmap[[Row]:[Row]],$F35)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35" s="8" t="e" cm="1" vm="1">
        <f t="array" ref="H35">_xlfn.LET(_xlpm.x,SUMIFS(heatmap[[Value]:[Value]],heatmap[[Name]:[Name]],$F$26,heatmap[[Column]:[Column]],H$2,heatmap[[Row]:[Row]],$F35)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35" s="8" t="e" cm="1" vm="1">
        <f t="array" ref="I35">_xlfn.LET(_xlpm.x,SUMIFS(heatmap[[Value]:[Value]],heatmap[[Name]:[Name]],$F$26,heatmap[[Column]:[Column]],I$2,heatmap[[Row]:[Row]],$F35)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35" s="8" t="e" cm="1" vm="1">
        <f t="array" ref="J35">_xlfn.LET(_xlpm.x,SUMIFS(heatmap[[Value]:[Value]],heatmap[[Name]:[Name]],$F$26,heatmap[[Column]:[Column]],J$2,heatmap[[Row]:[Row]],$F35)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35" s="8" t="e" cm="1" vm="1">
        <f t="array" ref="K35">_xlfn.LET(_xlpm.x,SUMIFS(heatmap[[Value]:[Value]],heatmap[[Name]:[Name]],$F$26,heatmap[[Column]:[Column]],K$2,heatmap[[Row]:[Row]],$F35)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35" s="8" t="e" cm="1" vm="1">
        <f t="array" ref="L35">_xlfn.LET(_xlpm.x,SUMIFS(heatmap[[Value]:[Value]],heatmap[[Name]:[Name]],$F$26,heatmap[[Column]:[Column]],L$2,heatmap[[Row]:[Row]],$F35)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35" s="8" t="e" cm="1" vm="1">
        <f t="array" ref="M35">_xlfn.LET(_xlpm.x,SUMIFS(heatmap[[Value]:[Value]],heatmap[[Name]:[Name]],$F$26,heatmap[[Column]:[Column]],M$2,heatmap[[Row]:[Row]],$F35)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35" s="8" t="e" cm="1" vm="1">
        <f t="array" ref="N35">_xlfn.LET(_xlpm.x,SUMIFS(heatmap[[Value]:[Value]],heatmap[[Name]:[Name]],$F$26,heatmap[[Column]:[Column]],N$2,heatmap[[Row]:[Row]],$F35)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36" spans="5:14" x14ac:dyDescent="0.25">
      <c r="E36"/>
      <c r="F36">
        <v>10</v>
      </c>
      <c r="G36" s="8" t="e" cm="1" vm="1">
        <f t="array" ref="G36">_xlfn.LET(_xlpm.x,SUMIFS(heatmap[[Value]:[Value]],heatmap[[Name]:[Name]],$F$26,heatmap[[Column]:[Column]],G$2,heatmap[[Row]:[Row]],$F36)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36" s="8" t="e" cm="1" vm="1">
        <f t="array" ref="H36">_xlfn.LET(_xlpm.x,SUMIFS(heatmap[[Value]:[Value]],heatmap[[Name]:[Name]],$F$26,heatmap[[Column]:[Column]],H$2,heatmap[[Row]:[Row]],$F36)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36" s="8" t="e" cm="1" vm="1">
        <f t="array" ref="I36">_xlfn.LET(_xlpm.x,SUMIFS(heatmap[[Value]:[Value]],heatmap[[Name]:[Name]],$F$26,heatmap[[Column]:[Column]],I$2,heatmap[[Row]:[Row]],$F36)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36" s="8" t="e" cm="1" vm="1">
        <f t="array" ref="J36">_xlfn.LET(_xlpm.x,SUMIFS(heatmap[[Value]:[Value]],heatmap[[Name]:[Name]],$F$26,heatmap[[Column]:[Column]],J$2,heatmap[[Row]:[Row]],$F36)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36" s="8" t="e" cm="1" vm="1">
        <f t="array" ref="K36">_xlfn.LET(_xlpm.x,SUMIFS(heatmap[[Value]:[Value]],heatmap[[Name]:[Name]],$F$26,heatmap[[Column]:[Column]],K$2,heatmap[[Row]:[Row]],$F36)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36" s="8" t="e" cm="1" vm="1">
        <f t="array" ref="L36">_xlfn.LET(_xlpm.x,SUMIFS(heatmap[[Value]:[Value]],heatmap[[Name]:[Name]],$F$26,heatmap[[Column]:[Column]],L$2,heatmap[[Row]:[Row]],$F36)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36" s="8" t="e" cm="1" vm="1">
        <f t="array" ref="M36">_xlfn.LET(_xlpm.x,SUMIFS(heatmap[[Value]:[Value]],heatmap[[Name]:[Name]],$F$26,heatmap[[Column]:[Column]],M$2,heatmap[[Row]:[Row]],$F36)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36" s="8" t="e" cm="1" vm="1">
        <f t="array" ref="N36">_xlfn.LET(_xlpm.x,SUMIFS(heatmap[[Value]:[Value]],heatmap[[Name]:[Name]],$F$26,heatmap[[Column]:[Column]],N$2,heatmap[[Row]:[Row]],$F36)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37" spans="5:14" x14ac:dyDescent="0.25">
      <c r="E37"/>
      <c r="F37"/>
      <c r="G37" s="1"/>
      <c r="H37" s="1"/>
      <c r="I37" s="1"/>
      <c r="J37" s="1"/>
      <c r="K37" s="1"/>
      <c r="L37" s="1"/>
    </row>
    <row r="38" spans="5:14" x14ac:dyDescent="0.25">
      <c r="E38"/>
      <c r="F38" t="s">
        <v>19</v>
      </c>
      <c r="G38" s="2">
        <v>1</v>
      </c>
      <c r="H38" s="2">
        <v>2</v>
      </c>
      <c r="I38" s="2">
        <v>3</v>
      </c>
      <c r="J38" s="2">
        <v>4</v>
      </c>
      <c r="K38" s="2">
        <v>5</v>
      </c>
      <c r="L38" s="2">
        <v>6</v>
      </c>
      <c r="M38" s="2">
        <v>7</v>
      </c>
      <c r="N38" s="2">
        <v>8</v>
      </c>
    </row>
    <row r="39" spans="5:14" x14ac:dyDescent="0.25">
      <c r="E39"/>
      <c r="F39">
        <v>1</v>
      </c>
      <c r="G39" s="8" t="e" cm="1" vm="1">
        <f t="array" ref="G39">_xlfn.LET(_xlpm.x,SUMIFS(heatmap[[Value]:[Value]],heatmap[[Name]:[Name]],$F$38,heatmap[[Column]:[Column]],G$2,heatmap[[Row]:[Row]],$F39)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39" s="8" t="e" cm="1" vm="1">
        <f t="array" ref="H39">_xlfn.LET(_xlpm.x,SUMIFS(heatmap[[Value]:[Value]],heatmap[[Name]:[Name]],$F$38,heatmap[[Column]:[Column]],H$2,heatmap[[Row]:[Row]],$F39)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39" s="8" t="e" cm="1" vm="1">
        <f t="array" ref="I39">_xlfn.LET(_xlpm.x,SUMIFS(heatmap[[Value]:[Value]],heatmap[[Name]:[Name]],$F$38,heatmap[[Column]:[Column]],I$2,heatmap[[Row]:[Row]],$F39)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39" s="8" t="e" cm="1" vm="1">
        <f t="array" ref="J39">_xlfn.LET(_xlpm.x,SUMIFS(heatmap[[Value]:[Value]],heatmap[[Name]:[Name]],$F$38,heatmap[[Column]:[Column]],J$2,heatmap[[Row]:[Row]],$F39)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39" s="8" t="e" cm="1" vm="1">
        <f t="array" ref="K39">_xlfn.LET(_xlpm.x,SUMIFS(heatmap[[Value]:[Value]],heatmap[[Name]:[Name]],$F$38,heatmap[[Column]:[Column]],K$2,heatmap[[Row]:[Row]],$F39)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39" s="8" t="e" cm="1" vm="1">
        <f t="array" ref="L39">_xlfn.LET(_xlpm.x,SUMIFS(heatmap[[Value]:[Value]],heatmap[[Name]:[Name]],$F$38,heatmap[[Column]:[Column]],L$2,heatmap[[Row]:[Row]],$F39)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39" s="8" t="e" cm="1" vm="1">
        <f t="array" ref="M39">_xlfn.LET(_xlpm.x,SUMIFS(heatmap[[Value]:[Value]],heatmap[[Name]:[Name]],$F$38,heatmap[[Column]:[Column]],M$2,heatmap[[Row]:[Row]],$F39)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39" s="8" t="e" cm="1" vm="1">
        <f t="array" ref="N39">_xlfn.LET(_xlpm.x,SUMIFS(heatmap[[Value]:[Value]],heatmap[[Name]:[Name]],$F$38,heatmap[[Column]:[Column]],N$2,heatmap[[Row]:[Row]],$F39)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40" spans="5:14" x14ac:dyDescent="0.25">
      <c r="E40"/>
      <c r="F40">
        <v>2</v>
      </c>
      <c r="G40" s="8" t="e" cm="1" vm="1">
        <f t="array" ref="G40">_xlfn.LET(_xlpm.x,SUMIFS(heatmap[[Value]:[Value]],heatmap[[Name]:[Name]],$F$38,heatmap[[Column]:[Column]],G$2,heatmap[[Row]:[Row]],$F40)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40" s="8" t="e" cm="1" vm="1">
        <f t="array" ref="H40">_xlfn.LET(_xlpm.x,SUMIFS(heatmap[[Value]:[Value]],heatmap[[Name]:[Name]],$F$38,heatmap[[Column]:[Column]],H$2,heatmap[[Row]:[Row]],$F40)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40" s="8" t="e" cm="1" vm="1">
        <f t="array" ref="I40">_xlfn.LET(_xlpm.x,SUMIFS(heatmap[[Value]:[Value]],heatmap[[Name]:[Name]],$F$38,heatmap[[Column]:[Column]],I$2,heatmap[[Row]:[Row]],$F40)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40" s="8" t="e" cm="1" vm="1">
        <f t="array" ref="J40">_xlfn.LET(_xlpm.x,SUMIFS(heatmap[[Value]:[Value]],heatmap[[Name]:[Name]],$F$38,heatmap[[Column]:[Column]],J$2,heatmap[[Row]:[Row]],$F40)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40" s="8" t="e" cm="1" vm="1">
        <f t="array" ref="K40">_xlfn.LET(_xlpm.x,SUMIFS(heatmap[[Value]:[Value]],heatmap[[Name]:[Name]],$F$38,heatmap[[Column]:[Column]],K$2,heatmap[[Row]:[Row]],$F40)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40" s="8" t="e" cm="1" vm="1">
        <f t="array" ref="L40">_xlfn.LET(_xlpm.x,SUMIFS(heatmap[[Value]:[Value]],heatmap[[Name]:[Name]],$F$38,heatmap[[Column]:[Column]],L$2,heatmap[[Row]:[Row]],$F40)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40" s="8" t="e" cm="1" vm="1">
        <f t="array" ref="M40">_xlfn.LET(_xlpm.x,SUMIFS(heatmap[[Value]:[Value]],heatmap[[Name]:[Name]],$F$38,heatmap[[Column]:[Column]],M$2,heatmap[[Row]:[Row]],$F40)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40" s="8" t="e" cm="1" vm="1">
        <f t="array" ref="N40">_xlfn.LET(_xlpm.x,SUMIFS(heatmap[[Value]:[Value]],heatmap[[Name]:[Name]],$F$38,heatmap[[Column]:[Column]],N$2,heatmap[[Row]:[Row]],$F40)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41" spans="5:14" x14ac:dyDescent="0.25">
      <c r="E41"/>
      <c r="F41">
        <v>3</v>
      </c>
      <c r="G41" s="8" t="e" cm="1" vm="1">
        <f t="array" ref="G41">_xlfn.LET(_xlpm.x,SUMIFS(heatmap[[Value]:[Value]],heatmap[[Name]:[Name]],$F$38,heatmap[[Column]:[Column]],G$2,heatmap[[Row]:[Row]],$F41)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41" s="8" t="e" cm="1" vm="1">
        <f t="array" ref="H41">_xlfn.LET(_xlpm.x,SUMIFS(heatmap[[Value]:[Value]],heatmap[[Name]:[Name]],$F$38,heatmap[[Column]:[Column]],H$2,heatmap[[Row]:[Row]],$F41)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41" s="8" t="e" cm="1" vm="1">
        <f t="array" ref="I41">_xlfn.LET(_xlpm.x,SUMIFS(heatmap[[Value]:[Value]],heatmap[[Name]:[Name]],$F$38,heatmap[[Column]:[Column]],I$2,heatmap[[Row]:[Row]],$F41)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41" s="8" t="e" cm="1" vm="1">
        <f t="array" ref="J41">_xlfn.LET(_xlpm.x,SUMIFS(heatmap[[Value]:[Value]],heatmap[[Name]:[Name]],$F$38,heatmap[[Column]:[Column]],J$2,heatmap[[Row]:[Row]],$F41)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41" s="8" t="e" cm="1" vm="1">
        <f t="array" ref="K41">_xlfn.LET(_xlpm.x,SUMIFS(heatmap[[Value]:[Value]],heatmap[[Name]:[Name]],$F$38,heatmap[[Column]:[Column]],K$2,heatmap[[Row]:[Row]],$F41)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41" s="8" t="e" cm="1" vm="1">
        <f t="array" ref="L41">_xlfn.LET(_xlpm.x,SUMIFS(heatmap[[Value]:[Value]],heatmap[[Name]:[Name]],$F$38,heatmap[[Column]:[Column]],L$2,heatmap[[Row]:[Row]],$F41)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41" s="8" t="e" cm="1" vm="1">
        <f t="array" ref="M41">_xlfn.LET(_xlpm.x,SUMIFS(heatmap[[Value]:[Value]],heatmap[[Name]:[Name]],$F$38,heatmap[[Column]:[Column]],M$2,heatmap[[Row]:[Row]],$F41)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41" s="8" t="e" cm="1" vm="1">
        <f t="array" ref="N41">_xlfn.LET(_xlpm.x,SUMIFS(heatmap[[Value]:[Value]],heatmap[[Name]:[Name]],$F$38,heatmap[[Column]:[Column]],N$2,heatmap[[Row]:[Row]],$F41)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42" spans="5:14" x14ac:dyDescent="0.25">
      <c r="E42"/>
      <c r="F42">
        <v>4</v>
      </c>
      <c r="G42" s="8" t="e" cm="1" vm="1">
        <f t="array" ref="G42">_xlfn.LET(_xlpm.x,SUMIFS(heatmap[[Value]:[Value]],heatmap[[Name]:[Name]],$F$38,heatmap[[Column]:[Column]],G$2,heatmap[[Row]:[Row]],$F42)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42" s="8" t="e" cm="1" vm="1">
        <f t="array" ref="H42">_xlfn.LET(_xlpm.x,SUMIFS(heatmap[[Value]:[Value]],heatmap[[Name]:[Name]],$F$38,heatmap[[Column]:[Column]],H$2,heatmap[[Row]:[Row]],$F42)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42" s="8" t="e" cm="1" vm="1">
        <f t="array" ref="I42">_xlfn.LET(_xlpm.x,SUMIFS(heatmap[[Value]:[Value]],heatmap[[Name]:[Name]],$F$38,heatmap[[Column]:[Column]],I$2,heatmap[[Row]:[Row]],$F42)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42" s="8" t="e" cm="1" vm="1">
        <f t="array" ref="J42">_xlfn.LET(_xlpm.x,SUMIFS(heatmap[[Value]:[Value]],heatmap[[Name]:[Name]],$F$38,heatmap[[Column]:[Column]],J$2,heatmap[[Row]:[Row]],$F42)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42" s="8" t="e" cm="1" vm="1">
        <f t="array" ref="K42">_xlfn.LET(_xlpm.x,SUMIFS(heatmap[[Value]:[Value]],heatmap[[Name]:[Name]],$F$38,heatmap[[Column]:[Column]],K$2,heatmap[[Row]:[Row]],$F42)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42" s="8" t="e" cm="1" vm="1">
        <f t="array" ref="L42">_xlfn.LET(_xlpm.x,SUMIFS(heatmap[[Value]:[Value]],heatmap[[Name]:[Name]],$F$38,heatmap[[Column]:[Column]],L$2,heatmap[[Row]:[Row]],$F42)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42" s="8" t="e" cm="1" vm="1">
        <f t="array" ref="M42">_xlfn.LET(_xlpm.x,SUMIFS(heatmap[[Value]:[Value]],heatmap[[Name]:[Name]],$F$38,heatmap[[Column]:[Column]],M$2,heatmap[[Row]:[Row]],$F42)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42" s="8" t="e" cm="1" vm="1">
        <f t="array" ref="N42">_xlfn.LET(_xlpm.x,SUMIFS(heatmap[[Value]:[Value]],heatmap[[Name]:[Name]],$F$38,heatmap[[Column]:[Column]],N$2,heatmap[[Row]:[Row]],$F42)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43" spans="5:14" x14ac:dyDescent="0.25">
      <c r="E43"/>
      <c r="F43">
        <v>5</v>
      </c>
      <c r="G43" s="8" t="e" cm="1" vm="1">
        <f t="array" ref="G43">_xlfn.LET(_xlpm.x,SUMIFS(heatmap[[Value]:[Value]],heatmap[[Name]:[Name]],$F$38,heatmap[[Column]:[Column]],G$2,heatmap[[Row]:[Row]],$F43)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43" s="8" t="e" cm="1" vm="1">
        <f t="array" ref="H43">_xlfn.LET(_xlpm.x,SUMIFS(heatmap[[Value]:[Value]],heatmap[[Name]:[Name]],$F$38,heatmap[[Column]:[Column]],H$2,heatmap[[Row]:[Row]],$F43)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43" s="8" t="e" cm="1" vm="1">
        <f t="array" ref="I43">_xlfn.LET(_xlpm.x,SUMIFS(heatmap[[Value]:[Value]],heatmap[[Name]:[Name]],$F$38,heatmap[[Column]:[Column]],I$2,heatmap[[Row]:[Row]],$F43)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43" s="8" t="e" cm="1" vm="1">
        <f t="array" ref="J43">_xlfn.LET(_xlpm.x,SUMIFS(heatmap[[Value]:[Value]],heatmap[[Name]:[Name]],$F$38,heatmap[[Column]:[Column]],J$2,heatmap[[Row]:[Row]],$F43)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43" s="8" t="e" cm="1" vm="1">
        <f t="array" ref="K43">_xlfn.LET(_xlpm.x,SUMIFS(heatmap[[Value]:[Value]],heatmap[[Name]:[Name]],$F$38,heatmap[[Column]:[Column]],K$2,heatmap[[Row]:[Row]],$F43)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43" s="8" t="e" cm="1" vm="1">
        <f t="array" ref="L43">_xlfn.LET(_xlpm.x,SUMIFS(heatmap[[Value]:[Value]],heatmap[[Name]:[Name]],$F$38,heatmap[[Column]:[Column]],L$2,heatmap[[Row]:[Row]],$F43)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43" s="8" t="e" cm="1" vm="1">
        <f t="array" ref="M43">_xlfn.LET(_xlpm.x,SUMIFS(heatmap[[Value]:[Value]],heatmap[[Name]:[Name]],$F$38,heatmap[[Column]:[Column]],M$2,heatmap[[Row]:[Row]],$F43)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43" s="8" t="e" cm="1" vm="1">
        <f t="array" ref="N43">_xlfn.LET(_xlpm.x,SUMIFS(heatmap[[Value]:[Value]],heatmap[[Name]:[Name]],$F$38,heatmap[[Column]:[Column]],N$2,heatmap[[Row]:[Row]],$F43)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44" spans="5:14" x14ac:dyDescent="0.25">
      <c r="E44"/>
      <c r="F44">
        <v>6</v>
      </c>
      <c r="G44" s="8" t="e" cm="1" vm="1">
        <f t="array" ref="G44">_xlfn.LET(_xlpm.x,SUMIFS(heatmap[[Value]:[Value]],heatmap[[Name]:[Name]],$F$38,heatmap[[Column]:[Column]],G$2,heatmap[[Row]:[Row]],$F44)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44" s="8" t="e" cm="1" vm="1">
        <f t="array" ref="H44">_xlfn.LET(_xlpm.x,SUMIFS(heatmap[[Value]:[Value]],heatmap[[Name]:[Name]],$F$38,heatmap[[Column]:[Column]],H$2,heatmap[[Row]:[Row]],$F44)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44" s="8" t="e" cm="1" vm="1">
        <f t="array" ref="I44">_xlfn.LET(_xlpm.x,SUMIFS(heatmap[[Value]:[Value]],heatmap[[Name]:[Name]],$F$38,heatmap[[Column]:[Column]],I$2,heatmap[[Row]:[Row]],$F44)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44" s="8" t="e" cm="1" vm="1">
        <f t="array" ref="J44">_xlfn.LET(_xlpm.x,SUMIFS(heatmap[[Value]:[Value]],heatmap[[Name]:[Name]],$F$38,heatmap[[Column]:[Column]],J$2,heatmap[[Row]:[Row]],$F44)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44" s="8" t="e" cm="1" vm="1">
        <f t="array" ref="K44">_xlfn.LET(_xlpm.x,SUMIFS(heatmap[[Value]:[Value]],heatmap[[Name]:[Name]],$F$38,heatmap[[Column]:[Column]],K$2,heatmap[[Row]:[Row]],$F44)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44" s="8" t="e" cm="1" vm="1">
        <f t="array" ref="L44">_xlfn.LET(_xlpm.x,SUMIFS(heatmap[[Value]:[Value]],heatmap[[Name]:[Name]],$F$38,heatmap[[Column]:[Column]],L$2,heatmap[[Row]:[Row]],$F44)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44" s="8" t="e" cm="1" vm="1">
        <f t="array" ref="M44">_xlfn.LET(_xlpm.x,SUMIFS(heatmap[[Value]:[Value]],heatmap[[Name]:[Name]],$F$38,heatmap[[Column]:[Column]],M$2,heatmap[[Row]:[Row]],$F44)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44" s="8" t="e" cm="1" vm="1">
        <f t="array" ref="N44">_xlfn.LET(_xlpm.x,SUMIFS(heatmap[[Value]:[Value]],heatmap[[Name]:[Name]],$F$38,heatmap[[Column]:[Column]],N$2,heatmap[[Row]:[Row]],$F44)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45" spans="5:14" x14ac:dyDescent="0.25">
      <c r="E45"/>
      <c r="F45">
        <v>7</v>
      </c>
      <c r="G45" s="8" t="e" cm="1" vm="1">
        <f t="array" ref="G45">_xlfn.LET(_xlpm.x,SUMIFS(heatmap[[Value]:[Value]],heatmap[[Name]:[Name]],$F$38,heatmap[[Column]:[Column]],G$2,heatmap[[Row]:[Row]],$F45)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45" s="8" t="e" cm="1" vm="1">
        <f t="array" ref="H45">_xlfn.LET(_xlpm.x,SUMIFS(heatmap[[Value]:[Value]],heatmap[[Name]:[Name]],$F$38,heatmap[[Column]:[Column]],H$2,heatmap[[Row]:[Row]],$F45)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45" s="8" t="e" cm="1" vm="1">
        <f t="array" ref="I45">_xlfn.LET(_xlpm.x,SUMIFS(heatmap[[Value]:[Value]],heatmap[[Name]:[Name]],$F$38,heatmap[[Column]:[Column]],I$2,heatmap[[Row]:[Row]],$F45)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45" s="8" t="e" cm="1" vm="1">
        <f t="array" ref="J45">_xlfn.LET(_xlpm.x,SUMIFS(heatmap[[Value]:[Value]],heatmap[[Name]:[Name]],$F$38,heatmap[[Column]:[Column]],J$2,heatmap[[Row]:[Row]],$F45)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45" s="8" t="e" cm="1" vm="1">
        <f t="array" ref="K45">_xlfn.LET(_xlpm.x,SUMIFS(heatmap[[Value]:[Value]],heatmap[[Name]:[Name]],$F$38,heatmap[[Column]:[Column]],K$2,heatmap[[Row]:[Row]],$F45)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45" s="8" t="e" cm="1" vm="1">
        <f t="array" ref="L45">_xlfn.LET(_xlpm.x,SUMIFS(heatmap[[Value]:[Value]],heatmap[[Name]:[Name]],$F$38,heatmap[[Column]:[Column]],L$2,heatmap[[Row]:[Row]],$F45)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45" s="8" t="e" cm="1" vm="1">
        <f t="array" ref="M45">_xlfn.LET(_xlpm.x,SUMIFS(heatmap[[Value]:[Value]],heatmap[[Name]:[Name]],$F$38,heatmap[[Column]:[Column]],M$2,heatmap[[Row]:[Row]],$F45)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45" s="8" t="e" cm="1" vm="1">
        <f t="array" ref="N45">_xlfn.LET(_xlpm.x,SUMIFS(heatmap[[Value]:[Value]],heatmap[[Name]:[Name]],$F$38,heatmap[[Column]:[Column]],N$2,heatmap[[Row]:[Row]],$F45)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46" spans="5:14" x14ac:dyDescent="0.25">
      <c r="E46"/>
      <c r="F46">
        <v>8</v>
      </c>
      <c r="G46" s="8" t="e" cm="1" vm="1">
        <f t="array" ref="G46">_xlfn.LET(_xlpm.x,SUMIFS(heatmap[[Value]:[Value]],heatmap[[Name]:[Name]],$F$38,heatmap[[Column]:[Column]],G$2,heatmap[[Row]:[Row]],$F46)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46" s="8" t="e" cm="1" vm="1">
        <f t="array" ref="H46">_xlfn.LET(_xlpm.x,SUMIFS(heatmap[[Value]:[Value]],heatmap[[Name]:[Name]],$F$38,heatmap[[Column]:[Column]],H$2,heatmap[[Row]:[Row]],$F46)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46" s="8" t="e" cm="1" vm="1">
        <f t="array" ref="I46">_xlfn.LET(_xlpm.x,SUMIFS(heatmap[[Value]:[Value]],heatmap[[Name]:[Name]],$F$38,heatmap[[Column]:[Column]],I$2,heatmap[[Row]:[Row]],$F46)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46" s="8" t="e" cm="1" vm="1">
        <f t="array" ref="J46">_xlfn.LET(_xlpm.x,SUMIFS(heatmap[[Value]:[Value]],heatmap[[Name]:[Name]],$F$38,heatmap[[Column]:[Column]],J$2,heatmap[[Row]:[Row]],$F46)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46" s="8" t="e" cm="1" vm="1">
        <f t="array" ref="K46">_xlfn.LET(_xlpm.x,SUMIFS(heatmap[[Value]:[Value]],heatmap[[Name]:[Name]],$F$38,heatmap[[Column]:[Column]],K$2,heatmap[[Row]:[Row]],$F46)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46" s="8" t="e" cm="1" vm="1">
        <f t="array" ref="L46">_xlfn.LET(_xlpm.x,SUMIFS(heatmap[[Value]:[Value]],heatmap[[Name]:[Name]],$F$38,heatmap[[Column]:[Column]],L$2,heatmap[[Row]:[Row]],$F46)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46" s="8" t="e" cm="1" vm="1">
        <f t="array" ref="M46">_xlfn.LET(_xlpm.x,SUMIFS(heatmap[[Value]:[Value]],heatmap[[Name]:[Name]],$F$38,heatmap[[Column]:[Column]],M$2,heatmap[[Row]:[Row]],$F46)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46" s="8" t="e" cm="1" vm="1">
        <f t="array" ref="N46">_xlfn.LET(_xlpm.x,SUMIFS(heatmap[[Value]:[Value]],heatmap[[Name]:[Name]],$F$38,heatmap[[Column]:[Column]],N$2,heatmap[[Row]:[Row]],$F46)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47" spans="5:14" x14ac:dyDescent="0.25">
      <c r="E47"/>
      <c r="F47">
        <v>9</v>
      </c>
      <c r="G47" s="8" t="e" cm="1" vm="1">
        <f t="array" ref="G47">_xlfn.LET(_xlpm.x,SUMIFS(heatmap[[Value]:[Value]],heatmap[[Name]:[Name]],$F$38,heatmap[[Column]:[Column]],G$2,heatmap[[Row]:[Row]],$F47)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47" s="8" t="e" cm="1" vm="1">
        <f t="array" ref="H47">_xlfn.LET(_xlpm.x,SUMIFS(heatmap[[Value]:[Value]],heatmap[[Name]:[Name]],$F$38,heatmap[[Column]:[Column]],H$2,heatmap[[Row]:[Row]],$F47)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47" s="8" t="e" cm="1" vm="1">
        <f t="array" ref="I47">_xlfn.LET(_xlpm.x,SUMIFS(heatmap[[Value]:[Value]],heatmap[[Name]:[Name]],$F$38,heatmap[[Column]:[Column]],I$2,heatmap[[Row]:[Row]],$F47)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47" s="8" t="e" cm="1" vm="1">
        <f t="array" ref="J47">_xlfn.LET(_xlpm.x,SUMIFS(heatmap[[Value]:[Value]],heatmap[[Name]:[Name]],$F$38,heatmap[[Column]:[Column]],J$2,heatmap[[Row]:[Row]],$F47)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47" s="8" t="e" cm="1" vm="1">
        <f t="array" ref="K47">_xlfn.LET(_xlpm.x,SUMIFS(heatmap[[Value]:[Value]],heatmap[[Name]:[Name]],$F$38,heatmap[[Column]:[Column]],K$2,heatmap[[Row]:[Row]],$F47)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47" s="8" t="e" cm="1" vm="1">
        <f t="array" ref="L47">_xlfn.LET(_xlpm.x,SUMIFS(heatmap[[Value]:[Value]],heatmap[[Name]:[Name]],$F$38,heatmap[[Column]:[Column]],L$2,heatmap[[Row]:[Row]],$F47)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47" s="8" t="e" cm="1" vm="1">
        <f t="array" ref="M47">_xlfn.LET(_xlpm.x,SUMIFS(heatmap[[Value]:[Value]],heatmap[[Name]:[Name]],$F$38,heatmap[[Column]:[Column]],M$2,heatmap[[Row]:[Row]],$F47)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47" s="8" t="e" cm="1" vm="1">
        <f t="array" ref="N47">_xlfn.LET(_xlpm.x,SUMIFS(heatmap[[Value]:[Value]],heatmap[[Name]:[Name]],$F$38,heatmap[[Column]:[Column]],N$2,heatmap[[Row]:[Row]],$F47)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48" spans="5:14" x14ac:dyDescent="0.25">
      <c r="E48"/>
      <c r="F48">
        <v>10</v>
      </c>
      <c r="G48" s="8" t="e" cm="1" vm="1">
        <f t="array" ref="G48">_xlfn.LET(_xlpm.x,SUMIFS(heatmap[[Value]:[Value]],heatmap[[Name]:[Name]],$F$38,heatmap[[Column]:[Column]],G$2,heatmap[[Row]:[Row]],$F48)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48" s="8" t="e" cm="1" vm="1">
        <f t="array" ref="H48">_xlfn.LET(_xlpm.x,SUMIFS(heatmap[[Value]:[Value]],heatmap[[Name]:[Name]],$F$38,heatmap[[Column]:[Column]],H$2,heatmap[[Row]:[Row]],$F48)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48" s="8" t="e" cm="1" vm="1">
        <f t="array" ref="I48">_xlfn.LET(_xlpm.x,SUMIFS(heatmap[[Value]:[Value]],heatmap[[Name]:[Name]],$F$38,heatmap[[Column]:[Column]],I$2,heatmap[[Row]:[Row]],$F48)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48" s="8" t="e" cm="1" vm="1">
        <f t="array" ref="J48">_xlfn.LET(_xlpm.x,SUMIFS(heatmap[[Value]:[Value]],heatmap[[Name]:[Name]],$F$38,heatmap[[Column]:[Column]],J$2,heatmap[[Row]:[Row]],$F48)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48" s="8" t="e" cm="1" vm="1">
        <f t="array" ref="K48">_xlfn.LET(_xlpm.x,SUMIFS(heatmap[[Value]:[Value]],heatmap[[Name]:[Name]],$F$38,heatmap[[Column]:[Column]],K$2,heatmap[[Row]:[Row]],$F48)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48" s="8" t="e" cm="1" vm="1">
        <f t="array" ref="L48">_xlfn.LET(_xlpm.x,SUMIFS(heatmap[[Value]:[Value]],heatmap[[Name]:[Name]],$F$38,heatmap[[Column]:[Column]],L$2,heatmap[[Row]:[Row]],$F48)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48" s="8" t="e" cm="1" vm="1">
        <f t="array" ref="M48">_xlfn.LET(_xlpm.x,SUMIFS(heatmap[[Value]:[Value]],heatmap[[Name]:[Name]],$F$38,heatmap[[Column]:[Column]],M$2,heatmap[[Row]:[Row]],$F48)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48" s="8" t="e" cm="1" vm="1">
        <f t="array" ref="N48">_xlfn.LET(_xlpm.x,SUMIFS(heatmap[[Value]:[Value]],heatmap[[Name]:[Name]],$F$38,heatmap[[Column]:[Column]],N$2,heatmap[[Row]:[Row]],$F48)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49" spans="5:14" x14ac:dyDescent="0.25">
      <c r="E49"/>
      <c r="F49"/>
      <c r="G49" s="1"/>
      <c r="H49" s="1"/>
      <c r="I49" s="1"/>
      <c r="J49" s="1"/>
      <c r="K49" s="1"/>
      <c r="L49" s="1"/>
    </row>
    <row r="50" spans="5:14" x14ac:dyDescent="0.25">
      <c r="E50"/>
      <c r="F50" t="s">
        <v>20</v>
      </c>
      <c r="G50" s="2">
        <v>1</v>
      </c>
      <c r="H50" s="2">
        <v>2</v>
      </c>
      <c r="I50" s="2">
        <v>3</v>
      </c>
      <c r="J50" s="2">
        <v>4</v>
      </c>
      <c r="K50" s="2">
        <v>5</v>
      </c>
      <c r="L50" s="2">
        <v>6</v>
      </c>
      <c r="M50" s="2">
        <v>7</v>
      </c>
      <c r="N50" s="2">
        <v>8</v>
      </c>
    </row>
    <row r="51" spans="5:14" x14ac:dyDescent="0.25">
      <c r="E51"/>
      <c r="F51">
        <v>1</v>
      </c>
      <c r="G51" s="8" t="e" cm="1" vm="1">
        <f t="array" ref="G51">_xlfn.LET(_xlpm.x,SUMIFS(heatmap[[Value]:[Value]],heatmap[[Name]:[Name]],$F$50,heatmap[[Column]:[Column]],G$2,heatmap[[Row]:[Row]],$F51)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51" s="8" t="e" cm="1" vm="1">
        <f t="array" ref="H51">_xlfn.LET(_xlpm.x,SUMIFS(heatmap[[Value]:[Value]],heatmap[[Name]:[Name]],$F$50,heatmap[[Column]:[Column]],H$2,heatmap[[Row]:[Row]],$F51)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51" s="8" t="e" cm="1" vm="1">
        <f t="array" ref="I51">_xlfn.LET(_xlpm.x,SUMIFS(heatmap[[Value]:[Value]],heatmap[[Name]:[Name]],$F$50,heatmap[[Column]:[Column]],I$2,heatmap[[Row]:[Row]],$F51)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51" s="8" t="e" cm="1" vm="1">
        <f t="array" ref="J51">_xlfn.LET(_xlpm.x,SUMIFS(heatmap[[Value]:[Value]],heatmap[[Name]:[Name]],$F$50,heatmap[[Column]:[Column]],J$2,heatmap[[Row]:[Row]],$F51)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51" s="8" t="e" cm="1" vm="1">
        <f t="array" ref="K51">_xlfn.LET(_xlpm.x,SUMIFS(heatmap[[Value]:[Value]],heatmap[[Name]:[Name]],$F$50,heatmap[[Column]:[Column]],K$2,heatmap[[Row]:[Row]],$F51)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51" s="8" t="e" cm="1" vm="1">
        <f t="array" ref="L51">_xlfn.LET(_xlpm.x,SUMIFS(heatmap[[Value]:[Value]],heatmap[[Name]:[Name]],$F$50,heatmap[[Column]:[Column]],L$2,heatmap[[Row]:[Row]],$F51)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51" s="8" t="e" cm="1" vm="1">
        <f t="array" ref="M51">_xlfn.LET(_xlpm.x,SUMIFS(heatmap[[Value]:[Value]],heatmap[[Name]:[Name]],$F$50,heatmap[[Column]:[Column]],M$2,heatmap[[Row]:[Row]],$F51)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51" s="8" t="e" cm="1" vm="1">
        <f t="array" ref="N51">_xlfn.LET(_xlpm.x,SUMIFS(heatmap[[Value]:[Value]],heatmap[[Name]:[Name]],$F$50,heatmap[[Column]:[Column]],N$2,heatmap[[Row]:[Row]],$F51)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52" spans="5:14" x14ac:dyDescent="0.25">
      <c r="E52"/>
      <c r="F52">
        <v>2</v>
      </c>
      <c r="G52" s="8" t="e" cm="1" vm="1">
        <f t="array" ref="G52">_xlfn.LET(_xlpm.x,SUMIFS(heatmap[[Value]:[Value]],heatmap[[Name]:[Name]],$F$50,heatmap[[Column]:[Column]],G$2,heatmap[[Row]:[Row]],$F52)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52" s="8" t="e" cm="1" vm="1">
        <f t="array" ref="H52">_xlfn.LET(_xlpm.x,SUMIFS(heatmap[[Value]:[Value]],heatmap[[Name]:[Name]],$F$50,heatmap[[Column]:[Column]],H$2,heatmap[[Row]:[Row]],$F52)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52" s="8" t="e" cm="1" vm="1">
        <f t="array" ref="I52">_xlfn.LET(_xlpm.x,SUMIFS(heatmap[[Value]:[Value]],heatmap[[Name]:[Name]],$F$50,heatmap[[Column]:[Column]],I$2,heatmap[[Row]:[Row]],$F52)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52" s="8" t="e" cm="1" vm="1">
        <f t="array" ref="J52">_xlfn.LET(_xlpm.x,SUMIFS(heatmap[[Value]:[Value]],heatmap[[Name]:[Name]],$F$50,heatmap[[Column]:[Column]],J$2,heatmap[[Row]:[Row]],$F52)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52" s="8" t="e" cm="1" vm="1">
        <f t="array" ref="K52">_xlfn.LET(_xlpm.x,SUMIFS(heatmap[[Value]:[Value]],heatmap[[Name]:[Name]],$F$50,heatmap[[Column]:[Column]],K$2,heatmap[[Row]:[Row]],$F52)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52" s="8" t="e" cm="1" vm="1">
        <f t="array" ref="L52">_xlfn.LET(_xlpm.x,SUMIFS(heatmap[[Value]:[Value]],heatmap[[Name]:[Name]],$F$50,heatmap[[Column]:[Column]],L$2,heatmap[[Row]:[Row]],$F52)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52" s="8" t="e" cm="1" vm="1">
        <f t="array" ref="M52">_xlfn.LET(_xlpm.x,SUMIFS(heatmap[[Value]:[Value]],heatmap[[Name]:[Name]],$F$50,heatmap[[Column]:[Column]],M$2,heatmap[[Row]:[Row]],$F52)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52" s="8" t="e" cm="1" vm="1">
        <f t="array" ref="N52">_xlfn.LET(_xlpm.x,SUMIFS(heatmap[[Value]:[Value]],heatmap[[Name]:[Name]],$F$50,heatmap[[Column]:[Column]],N$2,heatmap[[Row]:[Row]],$F52)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53" spans="5:14" x14ac:dyDescent="0.25">
      <c r="E53"/>
      <c r="F53">
        <v>3</v>
      </c>
      <c r="G53" s="8" t="e" cm="1" vm="1">
        <f t="array" ref="G53">_xlfn.LET(_xlpm.x,SUMIFS(heatmap[[Value]:[Value]],heatmap[[Name]:[Name]],$F$50,heatmap[[Column]:[Column]],G$2,heatmap[[Row]:[Row]],$F53)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53" s="8" t="e" cm="1" vm="1">
        <f t="array" ref="H53">_xlfn.LET(_xlpm.x,SUMIFS(heatmap[[Value]:[Value]],heatmap[[Name]:[Name]],$F$50,heatmap[[Column]:[Column]],H$2,heatmap[[Row]:[Row]],$F53)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53" s="8" t="e" cm="1" vm="1">
        <f t="array" ref="I53">_xlfn.LET(_xlpm.x,SUMIFS(heatmap[[Value]:[Value]],heatmap[[Name]:[Name]],$F$50,heatmap[[Column]:[Column]],I$2,heatmap[[Row]:[Row]],$F53)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53" s="8" t="e" cm="1" vm="1">
        <f t="array" ref="J53">_xlfn.LET(_xlpm.x,SUMIFS(heatmap[[Value]:[Value]],heatmap[[Name]:[Name]],$F$50,heatmap[[Column]:[Column]],J$2,heatmap[[Row]:[Row]],$F53)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53" s="8" t="e" cm="1" vm="1">
        <f t="array" ref="K53">_xlfn.LET(_xlpm.x,SUMIFS(heatmap[[Value]:[Value]],heatmap[[Name]:[Name]],$F$50,heatmap[[Column]:[Column]],K$2,heatmap[[Row]:[Row]],$F53)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53" s="8" t="e" cm="1" vm="1">
        <f t="array" ref="L53">_xlfn.LET(_xlpm.x,SUMIFS(heatmap[[Value]:[Value]],heatmap[[Name]:[Name]],$F$50,heatmap[[Column]:[Column]],L$2,heatmap[[Row]:[Row]],$F53)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53" s="8" t="e" cm="1" vm="1">
        <f t="array" ref="M53">_xlfn.LET(_xlpm.x,SUMIFS(heatmap[[Value]:[Value]],heatmap[[Name]:[Name]],$F$50,heatmap[[Column]:[Column]],M$2,heatmap[[Row]:[Row]],$F53)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53" s="8" t="e" cm="1" vm="1">
        <f t="array" ref="N53">_xlfn.LET(_xlpm.x,SUMIFS(heatmap[[Value]:[Value]],heatmap[[Name]:[Name]],$F$50,heatmap[[Column]:[Column]],N$2,heatmap[[Row]:[Row]],$F53)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54" spans="5:14" x14ac:dyDescent="0.25">
      <c r="E54"/>
      <c r="F54">
        <v>4</v>
      </c>
      <c r="G54" s="8" t="e" cm="1" vm="1">
        <f t="array" ref="G54">_xlfn.LET(_xlpm.x,SUMIFS(heatmap[[Value]:[Value]],heatmap[[Name]:[Name]],$F$50,heatmap[[Column]:[Column]],G$2,heatmap[[Row]:[Row]],$F54)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54" s="8" t="e" cm="1" vm="1">
        <f t="array" ref="H54">_xlfn.LET(_xlpm.x,SUMIFS(heatmap[[Value]:[Value]],heatmap[[Name]:[Name]],$F$50,heatmap[[Column]:[Column]],H$2,heatmap[[Row]:[Row]],$F54)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54" s="8" t="e" cm="1" vm="1">
        <f t="array" ref="I54">_xlfn.LET(_xlpm.x,SUMIFS(heatmap[[Value]:[Value]],heatmap[[Name]:[Name]],$F$50,heatmap[[Column]:[Column]],I$2,heatmap[[Row]:[Row]],$F54)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54" s="8" t="e" cm="1" vm="1">
        <f t="array" ref="J54">_xlfn.LET(_xlpm.x,SUMIFS(heatmap[[Value]:[Value]],heatmap[[Name]:[Name]],$F$50,heatmap[[Column]:[Column]],J$2,heatmap[[Row]:[Row]],$F54)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54" s="8" t="e" cm="1" vm="1">
        <f t="array" ref="K54">_xlfn.LET(_xlpm.x,SUMIFS(heatmap[[Value]:[Value]],heatmap[[Name]:[Name]],$F$50,heatmap[[Column]:[Column]],K$2,heatmap[[Row]:[Row]],$F54)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54" s="8" t="e" cm="1" vm="1">
        <f t="array" ref="L54">_xlfn.LET(_xlpm.x,SUMIFS(heatmap[[Value]:[Value]],heatmap[[Name]:[Name]],$F$50,heatmap[[Column]:[Column]],L$2,heatmap[[Row]:[Row]],$F54)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54" s="8" t="e" cm="1" vm="1">
        <f t="array" ref="M54">_xlfn.LET(_xlpm.x,SUMIFS(heatmap[[Value]:[Value]],heatmap[[Name]:[Name]],$F$50,heatmap[[Column]:[Column]],M$2,heatmap[[Row]:[Row]],$F54)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54" s="8" t="e" cm="1" vm="1">
        <f t="array" ref="N54">_xlfn.LET(_xlpm.x,SUMIFS(heatmap[[Value]:[Value]],heatmap[[Name]:[Name]],$F$50,heatmap[[Column]:[Column]],N$2,heatmap[[Row]:[Row]],$F54)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55" spans="5:14" x14ac:dyDescent="0.25">
      <c r="E55"/>
      <c r="F55">
        <v>5</v>
      </c>
      <c r="G55" s="8" t="e" cm="1" vm="1">
        <f t="array" ref="G55">_xlfn.LET(_xlpm.x,SUMIFS(heatmap[[Value]:[Value]],heatmap[[Name]:[Name]],$F$50,heatmap[[Column]:[Column]],G$2,heatmap[[Row]:[Row]],$F55)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55" s="8" t="e" cm="1" vm="1">
        <f t="array" ref="H55">_xlfn.LET(_xlpm.x,SUMIFS(heatmap[[Value]:[Value]],heatmap[[Name]:[Name]],$F$50,heatmap[[Column]:[Column]],H$2,heatmap[[Row]:[Row]],$F55)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55" s="8" t="e" cm="1" vm="1">
        <f t="array" ref="I55">_xlfn.LET(_xlpm.x,SUMIFS(heatmap[[Value]:[Value]],heatmap[[Name]:[Name]],$F$50,heatmap[[Column]:[Column]],I$2,heatmap[[Row]:[Row]],$F55)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55" s="8" t="e" cm="1" vm="1">
        <f t="array" ref="J55">_xlfn.LET(_xlpm.x,SUMIFS(heatmap[[Value]:[Value]],heatmap[[Name]:[Name]],$F$50,heatmap[[Column]:[Column]],J$2,heatmap[[Row]:[Row]],$F55)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55" s="8" t="e" cm="1" vm="1">
        <f t="array" ref="K55">_xlfn.LET(_xlpm.x,SUMIFS(heatmap[[Value]:[Value]],heatmap[[Name]:[Name]],$F$50,heatmap[[Column]:[Column]],K$2,heatmap[[Row]:[Row]],$F55)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55" s="8" t="e" cm="1" vm="1">
        <f t="array" ref="L55">_xlfn.LET(_xlpm.x,SUMIFS(heatmap[[Value]:[Value]],heatmap[[Name]:[Name]],$F$50,heatmap[[Column]:[Column]],L$2,heatmap[[Row]:[Row]],$F55)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55" s="8" t="e" cm="1" vm="1">
        <f t="array" ref="M55">_xlfn.LET(_xlpm.x,SUMIFS(heatmap[[Value]:[Value]],heatmap[[Name]:[Name]],$F$50,heatmap[[Column]:[Column]],M$2,heatmap[[Row]:[Row]],$F55)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55" s="8" t="e" cm="1" vm="1">
        <f t="array" ref="N55">_xlfn.LET(_xlpm.x,SUMIFS(heatmap[[Value]:[Value]],heatmap[[Name]:[Name]],$F$50,heatmap[[Column]:[Column]],N$2,heatmap[[Row]:[Row]],$F55)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56" spans="5:14" x14ac:dyDescent="0.25">
      <c r="E56"/>
      <c r="F56">
        <v>6</v>
      </c>
      <c r="G56" s="8" t="e" cm="1" vm="1">
        <f t="array" ref="G56">_xlfn.LET(_xlpm.x,SUMIFS(heatmap[[Value]:[Value]],heatmap[[Name]:[Name]],$F$50,heatmap[[Column]:[Column]],G$2,heatmap[[Row]:[Row]],$F56)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56" s="8" t="e" cm="1" vm="1">
        <f t="array" ref="H56">_xlfn.LET(_xlpm.x,SUMIFS(heatmap[[Value]:[Value]],heatmap[[Name]:[Name]],$F$50,heatmap[[Column]:[Column]],H$2,heatmap[[Row]:[Row]],$F56)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56" s="8" t="e" cm="1" vm="1">
        <f t="array" ref="I56">_xlfn.LET(_xlpm.x,SUMIFS(heatmap[[Value]:[Value]],heatmap[[Name]:[Name]],$F$50,heatmap[[Column]:[Column]],I$2,heatmap[[Row]:[Row]],$F56)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56" s="8" t="e" cm="1" vm="1">
        <f t="array" ref="J56">_xlfn.LET(_xlpm.x,SUMIFS(heatmap[[Value]:[Value]],heatmap[[Name]:[Name]],$F$50,heatmap[[Column]:[Column]],J$2,heatmap[[Row]:[Row]],$F56)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56" s="8" t="e" cm="1" vm="1">
        <f t="array" ref="K56">_xlfn.LET(_xlpm.x,SUMIFS(heatmap[[Value]:[Value]],heatmap[[Name]:[Name]],$F$50,heatmap[[Column]:[Column]],K$2,heatmap[[Row]:[Row]],$F56)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56" s="8" t="e" cm="1" vm="1">
        <f t="array" ref="L56">_xlfn.LET(_xlpm.x,SUMIFS(heatmap[[Value]:[Value]],heatmap[[Name]:[Name]],$F$50,heatmap[[Column]:[Column]],L$2,heatmap[[Row]:[Row]],$F56)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56" s="8" t="e" cm="1" vm="1">
        <f t="array" ref="M56">_xlfn.LET(_xlpm.x,SUMIFS(heatmap[[Value]:[Value]],heatmap[[Name]:[Name]],$F$50,heatmap[[Column]:[Column]],M$2,heatmap[[Row]:[Row]],$F56)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56" s="8" t="e" cm="1" vm="1">
        <f t="array" ref="N56">_xlfn.LET(_xlpm.x,SUMIFS(heatmap[[Value]:[Value]],heatmap[[Name]:[Name]],$F$50,heatmap[[Column]:[Column]],N$2,heatmap[[Row]:[Row]],$F56)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57" spans="5:14" x14ac:dyDescent="0.25">
      <c r="E57"/>
      <c r="F57">
        <v>7</v>
      </c>
      <c r="G57" s="8" t="e" cm="1" vm="1">
        <f t="array" ref="G57">_xlfn.LET(_xlpm.x,SUMIFS(heatmap[[Value]:[Value]],heatmap[[Name]:[Name]],$F$50,heatmap[[Column]:[Column]],G$2,heatmap[[Row]:[Row]],$F57)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57" s="8" t="e" cm="1" vm="1">
        <f t="array" ref="H57">_xlfn.LET(_xlpm.x,SUMIFS(heatmap[[Value]:[Value]],heatmap[[Name]:[Name]],$F$50,heatmap[[Column]:[Column]],H$2,heatmap[[Row]:[Row]],$F57)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57" s="8" t="e" cm="1" vm="1">
        <f t="array" ref="I57">_xlfn.LET(_xlpm.x,SUMIFS(heatmap[[Value]:[Value]],heatmap[[Name]:[Name]],$F$50,heatmap[[Column]:[Column]],I$2,heatmap[[Row]:[Row]],$F57)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57" s="8" t="e" cm="1" vm="1">
        <f t="array" ref="J57">_xlfn.LET(_xlpm.x,SUMIFS(heatmap[[Value]:[Value]],heatmap[[Name]:[Name]],$F$50,heatmap[[Column]:[Column]],J$2,heatmap[[Row]:[Row]],$F57)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57" s="8" t="e" cm="1" vm="1">
        <f t="array" ref="K57">_xlfn.LET(_xlpm.x,SUMIFS(heatmap[[Value]:[Value]],heatmap[[Name]:[Name]],$F$50,heatmap[[Column]:[Column]],K$2,heatmap[[Row]:[Row]],$F57)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57" s="8" t="e" cm="1" vm="1">
        <f t="array" ref="L57">_xlfn.LET(_xlpm.x,SUMIFS(heatmap[[Value]:[Value]],heatmap[[Name]:[Name]],$F$50,heatmap[[Column]:[Column]],L$2,heatmap[[Row]:[Row]],$F57)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57" s="8" t="e" cm="1" vm="1">
        <f t="array" ref="M57">_xlfn.LET(_xlpm.x,SUMIFS(heatmap[[Value]:[Value]],heatmap[[Name]:[Name]],$F$50,heatmap[[Column]:[Column]],M$2,heatmap[[Row]:[Row]],$F57)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57" s="8" t="e" cm="1" vm="1">
        <f t="array" ref="N57">_xlfn.LET(_xlpm.x,SUMIFS(heatmap[[Value]:[Value]],heatmap[[Name]:[Name]],$F$50,heatmap[[Column]:[Column]],N$2,heatmap[[Row]:[Row]],$F57)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58" spans="5:14" x14ac:dyDescent="0.25">
      <c r="E58"/>
      <c r="F58">
        <v>8</v>
      </c>
      <c r="G58" s="8" t="e" cm="1" vm="1">
        <f t="array" ref="G58">_xlfn.LET(_xlpm.x,SUMIFS(heatmap[[Value]:[Value]],heatmap[[Name]:[Name]],$F$50,heatmap[[Column]:[Column]],G$2,heatmap[[Row]:[Row]],$F58)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58" s="8" t="e" cm="1" vm="1">
        <f t="array" ref="H58">_xlfn.LET(_xlpm.x,SUMIFS(heatmap[[Value]:[Value]],heatmap[[Name]:[Name]],$F$50,heatmap[[Column]:[Column]],H$2,heatmap[[Row]:[Row]],$F58)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58" s="8" t="e" cm="1" vm="1">
        <f t="array" ref="I58">_xlfn.LET(_xlpm.x,SUMIFS(heatmap[[Value]:[Value]],heatmap[[Name]:[Name]],$F$50,heatmap[[Column]:[Column]],I$2,heatmap[[Row]:[Row]],$F58)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58" s="8" t="e" cm="1" vm="1">
        <f t="array" ref="J58">_xlfn.LET(_xlpm.x,SUMIFS(heatmap[[Value]:[Value]],heatmap[[Name]:[Name]],$F$50,heatmap[[Column]:[Column]],J$2,heatmap[[Row]:[Row]],$F58)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58" s="8" t="e" cm="1" vm="1">
        <f t="array" ref="K58">_xlfn.LET(_xlpm.x,SUMIFS(heatmap[[Value]:[Value]],heatmap[[Name]:[Name]],$F$50,heatmap[[Column]:[Column]],K$2,heatmap[[Row]:[Row]],$F58)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58" s="8" t="e" cm="1" vm="1">
        <f t="array" ref="L58">_xlfn.LET(_xlpm.x,SUMIFS(heatmap[[Value]:[Value]],heatmap[[Name]:[Name]],$F$50,heatmap[[Column]:[Column]],L$2,heatmap[[Row]:[Row]],$F58)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58" s="8" t="e" cm="1" vm="1">
        <f t="array" ref="M58">_xlfn.LET(_xlpm.x,SUMIFS(heatmap[[Value]:[Value]],heatmap[[Name]:[Name]],$F$50,heatmap[[Column]:[Column]],M$2,heatmap[[Row]:[Row]],$F58)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58" s="8" t="e" cm="1" vm="1">
        <f t="array" ref="N58">_xlfn.LET(_xlpm.x,SUMIFS(heatmap[[Value]:[Value]],heatmap[[Name]:[Name]],$F$50,heatmap[[Column]:[Column]],N$2,heatmap[[Row]:[Row]],$F58)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59" spans="5:14" x14ac:dyDescent="0.25">
      <c r="E59"/>
      <c r="F59">
        <v>9</v>
      </c>
      <c r="G59" s="8" t="e" cm="1" vm="1">
        <f t="array" ref="G59">_xlfn.LET(_xlpm.x,SUMIFS(heatmap[[Value]:[Value]],heatmap[[Name]:[Name]],$F$50,heatmap[[Column]:[Column]],G$2,heatmap[[Row]:[Row]],$F59)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59" s="8" t="e" cm="1" vm="1">
        <f t="array" ref="H59">_xlfn.LET(_xlpm.x,SUMIFS(heatmap[[Value]:[Value]],heatmap[[Name]:[Name]],$F$50,heatmap[[Column]:[Column]],H$2,heatmap[[Row]:[Row]],$F59)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59" s="8" t="e" cm="1" vm="1">
        <f t="array" ref="I59">_xlfn.LET(_xlpm.x,SUMIFS(heatmap[[Value]:[Value]],heatmap[[Name]:[Name]],$F$50,heatmap[[Column]:[Column]],I$2,heatmap[[Row]:[Row]],$F59)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59" s="8" t="e" cm="1" vm="1">
        <f t="array" ref="J59">_xlfn.LET(_xlpm.x,SUMIFS(heatmap[[Value]:[Value]],heatmap[[Name]:[Name]],$F$50,heatmap[[Column]:[Column]],J$2,heatmap[[Row]:[Row]],$F59)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59" s="8" t="e" cm="1" vm="1">
        <f t="array" ref="K59">_xlfn.LET(_xlpm.x,SUMIFS(heatmap[[Value]:[Value]],heatmap[[Name]:[Name]],$F$50,heatmap[[Column]:[Column]],K$2,heatmap[[Row]:[Row]],$F59)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59" s="8" t="e" cm="1" vm="1">
        <f t="array" ref="L59">_xlfn.LET(_xlpm.x,SUMIFS(heatmap[[Value]:[Value]],heatmap[[Name]:[Name]],$F$50,heatmap[[Column]:[Column]],L$2,heatmap[[Row]:[Row]],$F59)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59" s="8" t="e" cm="1" vm="1">
        <f t="array" ref="M59">_xlfn.LET(_xlpm.x,SUMIFS(heatmap[[Value]:[Value]],heatmap[[Name]:[Name]],$F$50,heatmap[[Column]:[Column]],M$2,heatmap[[Row]:[Row]],$F59)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59" s="8" t="e" cm="1" vm="1">
        <f t="array" ref="N59">_xlfn.LET(_xlpm.x,SUMIFS(heatmap[[Value]:[Value]],heatmap[[Name]:[Name]],$F$50,heatmap[[Column]:[Column]],N$2,heatmap[[Row]:[Row]],$F59)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60" spans="5:14" x14ac:dyDescent="0.25">
      <c r="E60"/>
      <c r="F60">
        <v>10</v>
      </c>
      <c r="G60" s="8" t="e" cm="1" vm="1">
        <f t="array" ref="G60">_xlfn.LET(_xlpm.x,SUMIFS(heatmap[[Value]:[Value]],heatmap[[Name]:[Name]],$F$50,heatmap[[Column]:[Column]],G$2,heatmap[[Row]:[Row]],$F60)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60" s="8" t="e" cm="1" vm="1">
        <f t="array" ref="H60">_xlfn.LET(_xlpm.x,SUMIFS(heatmap[[Value]:[Value]],heatmap[[Name]:[Name]],$F$50,heatmap[[Column]:[Column]],H$2,heatmap[[Row]:[Row]],$F60)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60" s="8" t="e" cm="1" vm="1">
        <f t="array" ref="I60">_xlfn.LET(_xlpm.x,SUMIFS(heatmap[[Value]:[Value]],heatmap[[Name]:[Name]],$F$50,heatmap[[Column]:[Column]],I$2,heatmap[[Row]:[Row]],$F60)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60" s="8" t="e" cm="1" vm="1">
        <f t="array" ref="J60">_xlfn.LET(_xlpm.x,SUMIFS(heatmap[[Value]:[Value]],heatmap[[Name]:[Name]],$F$50,heatmap[[Column]:[Column]],J$2,heatmap[[Row]:[Row]],$F60)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60" s="8" t="e" cm="1" vm="1">
        <f t="array" ref="K60">_xlfn.LET(_xlpm.x,SUMIFS(heatmap[[Value]:[Value]],heatmap[[Name]:[Name]],$F$50,heatmap[[Column]:[Column]],K$2,heatmap[[Row]:[Row]],$F60)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60" s="8" t="e" cm="1" vm="1">
        <f t="array" ref="L60">_xlfn.LET(_xlpm.x,SUMIFS(heatmap[[Value]:[Value]],heatmap[[Name]:[Name]],$F$50,heatmap[[Column]:[Column]],L$2,heatmap[[Row]:[Row]],$F60)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60" s="8" t="e" cm="1" vm="1">
        <f t="array" ref="M60">_xlfn.LET(_xlpm.x,SUMIFS(heatmap[[Value]:[Value]],heatmap[[Name]:[Name]],$F$50,heatmap[[Column]:[Column]],M$2,heatmap[[Row]:[Row]],$F60)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60" s="8" t="e" cm="1" vm="1">
        <f t="array" ref="N60">_xlfn.LET(_xlpm.x,SUMIFS(heatmap[[Value]:[Value]],heatmap[[Name]:[Name]],$F$50,heatmap[[Column]:[Column]],N$2,heatmap[[Row]:[Row]],$F60)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61" spans="5:14" x14ac:dyDescent="0.25">
      <c r="E61"/>
      <c r="F61"/>
      <c r="G61" s="1"/>
      <c r="H61" s="1"/>
      <c r="I61" s="1"/>
      <c r="J61" s="1"/>
      <c r="K61" s="1"/>
      <c r="L61" s="1"/>
    </row>
    <row r="62" spans="5:14" x14ac:dyDescent="0.25">
      <c r="E62"/>
      <c r="F62" t="s">
        <v>21</v>
      </c>
      <c r="G62" s="2">
        <v>1</v>
      </c>
      <c r="H62" s="2">
        <v>2</v>
      </c>
      <c r="I62" s="2">
        <v>3</v>
      </c>
      <c r="J62" s="2">
        <v>4</v>
      </c>
      <c r="K62" s="2">
        <v>5</v>
      </c>
      <c r="L62" s="2">
        <v>6</v>
      </c>
      <c r="M62" s="2">
        <v>7</v>
      </c>
      <c r="N62" s="2">
        <v>8</v>
      </c>
    </row>
    <row r="63" spans="5:14" x14ac:dyDescent="0.25">
      <c r="E63"/>
      <c r="F63">
        <v>1</v>
      </c>
      <c r="G63" s="8" t="e" cm="1" vm="1">
        <f t="array" ref="G63">_xlfn.LET(_xlpm.x,SUMIFS(heatmap[[Value]:[Value]],heatmap[[Name]:[Name]],$F$62,heatmap[[Column]:[Column]],G$2,heatmap[[Row]:[Row]],$F63)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63" s="8" t="e" cm="1" vm="1">
        <f t="array" ref="H63">_xlfn.LET(_xlpm.x,SUMIFS(heatmap[[Value]:[Value]],heatmap[[Name]:[Name]],$F$62,heatmap[[Column]:[Column]],H$2,heatmap[[Row]:[Row]],$F63)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63" s="8" t="e" cm="1" vm="1">
        <f t="array" ref="I63">_xlfn.LET(_xlpm.x,SUMIFS(heatmap[[Value]:[Value]],heatmap[[Name]:[Name]],$F$62,heatmap[[Column]:[Column]],I$2,heatmap[[Row]:[Row]],$F63)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63" s="8" t="e" cm="1" vm="1">
        <f t="array" ref="J63">_xlfn.LET(_xlpm.x,SUMIFS(heatmap[[Value]:[Value]],heatmap[[Name]:[Name]],$F$62,heatmap[[Column]:[Column]],J$2,heatmap[[Row]:[Row]],$F63)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63" s="8" t="e" cm="1" vm="1">
        <f t="array" ref="K63">_xlfn.LET(_xlpm.x,SUMIFS(heatmap[[Value]:[Value]],heatmap[[Name]:[Name]],$F$62,heatmap[[Column]:[Column]],K$2,heatmap[[Row]:[Row]],$F63)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63" s="8" t="e" cm="1" vm="1">
        <f t="array" ref="L63">_xlfn.LET(_xlpm.x,SUMIFS(heatmap[[Value]:[Value]],heatmap[[Name]:[Name]],$F$62,heatmap[[Column]:[Column]],L$2,heatmap[[Row]:[Row]],$F63)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63" s="8" t="e" cm="1" vm="1">
        <f t="array" ref="M63">_xlfn.LET(_xlpm.x,SUMIFS(heatmap[[Value]:[Value]],heatmap[[Name]:[Name]],$F$62,heatmap[[Column]:[Column]],M$2,heatmap[[Row]:[Row]],$F63)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63" s="8" t="e" cm="1" vm="1">
        <f t="array" ref="N63">_xlfn.LET(_xlpm.x,SUMIFS(heatmap[[Value]:[Value]],heatmap[[Name]:[Name]],$F$62,heatmap[[Column]:[Column]],N$2,heatmap[[Row]:[Row]],$F63)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64" spans="5:14" x14ac:dyDescent="0.25">
      <c r="E64"/>
      <c r="F64">
        <v>2</v>
      </c>
      <c r="G64" s="8" t="e" cm="1" vm="1">
        <f t="array" ref="G64">_xlfn.LET(_xlpm.x,SUMIFS(heatmap[[Value]:[Value]],heatmap[[Name]:[Name]],$F$62,heatmap[[Column]:[Column]],G$2,heatmap[[Row]:[Row]],$F64)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64" s="8" t="e" cm="1" vm="1">
        <f t="array" ref="H64">_xlfn.LET(_xlpm.x,SUMIFS(heatmap[[Value]:[Value]],heatmap[[Name]:[Name]],$F$62,heatmap[[Column]:[Column]],H$2,heatmap[[Row]:[Row]],$F64)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64" s="8" t="e" cm="1" vm="1">
        <f t="array" ref="I64">_xlfn.LET(_xlpm.x,SUMIFS(heatmap[[Value]:[Value]],heatmap[[Name]:[Name]],$F$62,heatmap[[Column]:[Column]],I$2,heatmap[[Row]:[Row]],$F64)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64" s="8" t="e" cm="1" vm="1">
        <f t="array" ref="J64">_xlfn.LET(_xlpm.x,SUMIFS(heatmap[[Value]:[Value]],heatmap[[Name]:[Name]],$F$62,heatmap[[Column]:[Column]],J$2,heatmap[[Row]:[Row]],$F64)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64" s="8" t="e" cm="1" vm="1">
        <f t="array" ref="K64">_xlfn.LET(_xlpm.x,SUMIFS(heatmap[[Value]:[Value]],heatmap[[Name]:[Name]],$F$62,heatmap[[Column]:[Column]],K$2,heatmap[[Row]:[Row]],$F64)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64" s="8" t="e" cm="1" vm="1">
        <f t="array" ref="L64">_xlfn.LET(_xlpm.x,SUMIFS(heatmap[[Value]:[Value]],heatmap[[Name]:[Name]],$F$62,heatmap[[Column]:[Column]],L$2,heatmap[[Row]:[Row]],$F64)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64" s="8" t="e" cm="1" vm="1">
        <f t="array" ref="M64">_xlfn.LET(_xlpm.x,SUMIFS(heatmap[[Value]:[Value]],heatmap[[Name]:[Name]],$F$62,heatmap[[Column]:[Column]],M$2,heatmap[[Row]:[Row]],$F64)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64" s="8" t="e" cm="1" vm="1">
        <f t="array" ref="N64">_xlfn.LET(_xlpm.x,SUMIFS(heatmap[[Value]:[Value]],heatmap[[Name]:[Name]],$F$62,heatmap[[Column]:[Column]],N$2,heatmap[[Row]:[Row]],$F64)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65" spans="5:14" x14ac:dyDescent="0.25">
      <c r="E65"/>
      <c r="F65">
        <v>3</v>
      </c>
      <c r="G65" s="8" t="e" cm="1" vm="1">
        <f t="array" ref="G65">_xlfn.LET(_xlpm.x,SUMIFS(heatmap[[Value]:[Value]],heatmap[[Name]:[Name]],$F$62,heatmap[[Column]:[Column]],G$2,heatmap[[Row]:[Row]],$F65)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65" s="8" t="e" cm="1" vm="1">
        <f t="array" ref="H65">_xlfn.LET(_xlpm.x,SUMIFS(heatmap[[Value]:[Value]],heatmap[[Name]:[Name]],$F$62,heatmap[[Column]:[Column]],H$2,heatmap[[Row]:[Row]],$F65)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65" s="8" t="e" cm="1" vm="1">
        <f t="array" ref="I65">_xlfn.LET(_xlpm.x,SUMIFS(heatmap[[Value]:[Value]],heatmap[[Name]:[Name]],$F$62,heatmap[[Column]:[Column]],I$2,heatmap[[Row]:[Row]],$F65)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65" s="8" t="e" cm="1" vm="1">
        <f t="array" ref="J65">_xlfn.LET(_xlpm.x,SUMIFS(heatmap[[Value]:[Value]],heatmap[[Name]:[Name]],$F$62,heatmap[[Column]:[Column]],J$2,heatmap[[Row]:[Row]],$F65)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65" s="8" t="e" cm="1" vm="1">
        <f t="array" ref="K65">_xlfn.LET(_xlpm.x,SUMIFS(heatmap[[Value]:[Value]],heatmap[[Name]:[Name]],$F$62,heatmap[[Column]:[Column]],K$2,heatmap[[Row]:[Row]],$F65)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65" s="8" t="e" cm="1" vm="1">
        <f t="array" ref="L65">_xlfn.LET(_xlpm.x,SUMIFS(heatmap[[Value]:[Value]],heatmap[[Name]:[Name]],$F$62,heatmap[[Column]:[Column]],L$2,heatmap[[Row]:[Row]],$F65)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65" s="8" t="e" cm="1" vm="1">
        <f t="array" ref="M65">_xlfn.LET(_xlpm.x,SUMIFS(heatmap[[Value]:[Value]],heatmap[[Name]:[Name]],$F$62,heatmap[[Column]:[Column]],M$2,heatmap[[Row]:[Row]],$F65)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65" s="8" t="e" cm="1" vm="1">
        <f t="array" ref="N65">_xlfn.LET(_xlpm.x,SUMIFS(heatmap[[Value]:[Value]],heatmap[[Name]:[Name]],$F$62,heatmap[[Column]:[Column]],N$2,heatmap[[Row]:[Row]],$F65)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66" spans="5:14" x14ac:dyDescent="0.25">
      <c r="E66"/>
      <c r="F66">
        <v>4</v>
      </c>
      <c r="G66" s="8" t="e" cm="1" vm="1">
        <f t="array" ref="G66">_xlfn.LET(_xlpm.x,SUMIFS(heatmap[[Value]:[Value]],heatmap[[Name]:[Name]],$F$62,heatmap[[Column]:[Column]],G$2,heatmap[[Row]:[Row]],$F66)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66" s="8" t="e" cm="1" vm="1">
        <f t="array" ref="H66">_xlfn.LET(_xlpm.x,SUMIFS(heatmap[[Value]:[Value]],heatmap[[Name]:[Name]],$F$62,heatmap[[Column]:[Column]],H$2,heatmap[[Row]:[Row]],$F66)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66" s="8" t="e" cm="1" vm="1">
        <f t="array" ref="I66">_xlfn.LET(_xlpm.x,SUMIFS(heatmap[[Value]:[Value]],heatmap[[Name]:[Name]],$F$62,heatmap[[Column]:[Column]],I$2,heatmap[[Row]:[Row]],$F66)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66" s="8" t="e" cm="1" vm="1">
        <f t="array" ref="J66">_xlfn.LET(_xlpm.x,SUMIFS(heatmap[[Value]:[Value]],heatmap[[Name]:[Name]],$F$62,heatmap[[Column]:[Column]],J$2,heatmap[[Row]:[Row]],$F66)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66" s="8" t="e" cm="1" vm="1">
        <f t="array" ref="K66">_xlfn.LET(_xlpm.x,SUMIFS(heatmap[[Value]:[Value]],heatmap[[Name]:[Name]],$F$62,heatmap[[Column]:[Column]],K$2,heatmap[[Row]:[Row]],$F66)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66" s="8" t="e" cm="1" vm="1">
        <f t="array" ref="L66">_xlfn.LET(_xlpm.x,SUMIFS(heatmap[[Value]:[Value]],heatmap[[Name]:[Name]],$F$62,heatmap[[Column]:[Column]],L$2,heatmap[[Row]:[Row]],$F66)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66" s="8" t="e" cm="1" vm="1">
        <f t="array" ref="M66">_xlfn.LET(_xlpm.x,SUMIFS(heatmap[[Value]:[Value]],heatmap[[Name]:[Name]],$F$62,heatmap[[Column]:[Column]],M$2,heatmap[[Row]:[Row]],$F66)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66" s="8" t="e" cm="1" vm="1">
        <f t="array" ref="N66">_xlfn.LET(_xlpm.x,SUMIFS(heatmap[[Value]:[Value]],heatmap[[Name]:[Name]],$F$62,heatmap[[Column]:[Column]],N$2,heatmap[[Row]:[Row]],$F66)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67" spans="5:14" x14ac:dyDescent="0.25">
      <c r="E67"/>
      <c r="F67">
        <v>5</v>
      </c>
      <c r="G67" s="8" t="e" cm="1" vm="1">
        <f t="array" ref="G67">_xlfn.LET(_xlpm.x,SUMIFS(heatmap[[Value]:[Value]],heatmap[[Name]:[Name]],$F$62,heatmap[[Column]:[Column]],G$2,heatmap[[Row]:[Row]],$F67)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67" s="8" t="e" cm="1" vm="1">
        <f t="array" ref="H67">_xlfn.LET(_xlpm.x,SUMIFS(heatmap[[Value]:[Value]],heatmap[[Name]:[Name]],$F$62,heatmap[[Column]:[Column]],H$2,heatmap[[Row]:[Row]],$F67)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67" s="8" t="e" cm="1" vm="1">
        <f t="array" ref="I67">_xlfn.LET(_xlpm.x,SUMIFS(heatmap[[Value]:[Value]],heatmap[[Name]:[Name]],$F$62,heatmap[[Column]:[Column]],I$2,heatmap[[Row]:[Row]],$F67)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67" s="8" t="e" cm="1" vm="1">
        <f t="array" ref="J67">_xlfn.LET(_xlpm.x,SUMIFS(heatmap[[Value]:[Value]],heatmap[[Name]:[Name]],$F$62,heatmap[[Column]:[Column]],J$2,heatmap[[Row]:[Row]],$F67)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67" s="8" t="e" cm="1" vm="1">
        <f t="array" ref="K67">_xlfn.LET(_xlpm.x,SUMIFS(heatmap[[Value]:[Value]],heatmap[[Name]:[Name]],$F$62,heatmap[[Column]:[Column]],K$2,heatmap[[Row]:[Row]],$F67)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67" s="8" t="e" cm="1" vm="1">
        <f t="array" ref="L67">_xlfn.LET(_xlpm.x,SUMIFS(heatmap[[Value]:[Value]],heatmap[[Name]:[Name]],$F$62,heatmap[[Column]:[Column]],L$2,heatmap[[Row]:[Row]],$F67)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67" s="8" t="e" cm="1" vm="1">
        <f t="array" ref="M67">_xlfn.LET(_xlpm.x,SUMIFS(heatmap[[Value]:[Value]],heatmap[[Name]:[Name]],$F$62,heatmap[[Column]:[Column]],M$2,heatmap[[Row]:[Row]],$F67)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67" s="8" t="e" cm="1" vm="1">
        <f t="array" ref="N67">_xlfn.LET(_xlpm.x,SUMIFS(heatmap[[Value]:[Value]],heatmap[[Name]:[Name]],$F$62,heatmap[[Column]:[Column]],N$2,heatmap[[Row]:[Row]],$F67)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68" spans="5:14" x14ac:dyDescent="0.25">
      <c r="E68"/>
      <c r="F68">
        <v>6</v>
      </c>
      <c r="G68" s="8" t="e" cm="1" vm="1">
        <f t="array" ref="G68">_xlfn.LET(_xlpm.x,SUMIFS(heatmap[[Value]:[Value]],heatmap[[Name]:[Name]],$F$62,heatmap[[Column]:[Column]],G$2,heatmap[[Row]:[Row]],$F68)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68" s="8" t="e" cm="1" vm="1">
        <f t="array" ref="H68">_xlfn.LET(_xlpm.x,SUMIFS(heatmap[[Value]:[Value]],heatmap[[Name]:[Name]],$F$62,heatmap[[Column]:[Column]],H$2,heatmap[[Row]:[Row]],$F68)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68" s="8" t="e" cm="1" vm="1">
        <f t="array" ref="I68">_xlfn.LET(_xlpm.x,SUMIFS(heatmap[[Value]:[Value]],heatmap[[Name]:[Name]],$F$62,heatmap[[Column]:[Column]],I$2,heatmap[[Row]:[Row]],$F68)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68" s="8" t="e" cm="1" vm="1">
        <f t="array" ref="J68">_xlfn.LET(_xlpm.x,SUMIFS(heatmap[[Value]:[Value]],heatmap[[Name]:[Name]],$F$62,heatmap[[Column]:[Column]],J$2,heatmap[[Row]:[Row]],$F68)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68" s="8" t="e" cm="1" vm="1">
        <f t="array" ref="K68">_xlfn.LET(_xlpm.x,SUMIFS(heatmap[[Value]:[Value]],heatmap[[Name]:[Name]],$F$62,heatmap[[Column]:[Column]],K$2,heatmap[[Row]:[Row]],$F68)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68" s="8" t="e" cm="1" vm="1">
        <f t="array" ref="L68">_xlfn.LET(_xlpm.x,SUMIFS(heatmap[[Value]:[Value]],heatmap[[Name]:[Name]],$F$62,heatmap[[Column]:[Column]],L$2,heatmap[[Row]:[Row]],$F68)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68" s="8" t="e" cm="1" vm="1">
        <f t="array" ref="M68">_xlfn.LET(_xlpm.x,SUMIFS(heatmap[[Value]:[Value]],heatmap[[Name]:[Name]],$F$62,heatmap[[Column]:[Column]],M$2,heatmap[[Row]:[Row]],$F68)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68" s="8" t="e" cm="1" vm="1">
        <f t="array" ref="N68">_xlfn.LET(_xlpm.x,SUMIFS(heatmap[[Value]:[Value]],heatmap[[Name]:[Name]],$F$62,heatmap[[Column]:[Column]],N$2,heatmap[[Row]:[Row]],$F68)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69" spans="5:14" x14ac:dyDescent="0.25">
      <c r="E69"/>
      <c r="F69">
        <v>7</v>
      </c>
      <c r="G69" s="8" t="e" cm="1" vm="1">
        <f t="array" ref="G69">_xlfn.LET(_xlpm.x,SUMIFS(heatmap[[Value]:[Value]],heatmap[[Name]:[Name]],$F$62,heatmap[[Column]:[Column]],G$2,heatmap[[Row]:[Row]],$F69)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69" s="8" t="e" cm="1" vm="1">
        <f t="array" ref="H69">_xlfn.LET(_xlpm.x,SUMIFS(heatmap[[Value]:[Value]],heatmap[[Name]:[Name]],$F$62,heatmap[[Column]:[Column]],H$2,heatmap[[Row]:[Row]],$F69)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69" s="8" t="e" cm="1" vm="1">
        <f t="array" ref="I69">_xlfn.LET(_xlpm.x,SUMIFS(heatmap[[Value]:[Value]],heatmap[[Name]:[Name]],$F$62,heatmap[[Column]:[Column]],I$2,heatmap[[Row]:[Row]],$F69)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69" s="8" t="e" cm="1" vm="1">
        <f t="array" ref="J69">_xlfn.LET(_xlpm.x,SUMIFS(heatmap[[Value]:[Value]],heatmap[[Name]:[Name]],$F$62,heatmap[[Column]:[Column]],J$2,heatmap[[Row]:[Row]],$F69)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69" s="8" t="e" cm="1" vm="1">
        <f t="array" ref="K69">_xlfn.LET(_xlpm.x,SUMIFS(heatmap[[Value]:[Value]],heatmap[[Name]:[Name]],$F$62,heatmap[[Column]:[Column]],K$2,heatmap[[Row]:[Row]],$F69)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69" s="8" t="e" cm="1" vm="1">
        <f t="array" ref="L69">_xlfn.LET(_xlpm.x,SUMIFS(heatmap[[Value]:[Value]],heatmap[[Name]:[Name]],$F$62,heatmap[[Column]:[Column]],L$2,heatmap[[Row]:[Row]],$F69)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69" s="8" t="e" cm="1" vm="1">
        <f t="array" ref="M69">_xlfn.LET(_xlpm.x,SUMIFS(heatmap[[Value]:[Value]],heatmap[[Name]:[Name]],$F$62,heatmap[[Column]:[Column]],M$2,heatmap[[Row]:[Row]],$F69)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69" s="8" t="e" cm="1" vm="1">
        <f t="array" ref="N69">_xlfn.LET(_xlpm.x,SUMIFS(heatmap[[Value]:[Value]],heatmap[[Name]:[Name]],$F$62,heatmap[[Column]:[Column]],N$2,heatmap[[Row]:[Row]],$F69)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70" spans="5:14" x14ac:dyDescent="0.25">
      <c r="E70"/>
      <c r="F70">
        <v>8</v>
      </c>
      <c r="G70" s="8" t="e" cm="1" vm="1">
        <f t="array" ref="G70">_xlfn.LET(_xlpm.x,SUMIFS(heatmap[[Value]:[Value]],heatmap[[Name]:[Name]],$F$62,heatmap[[Column]:[Column]],G$2,heatmap[[Row]:[Row]],$F70)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70" s="8" t="e" cm="1" vm="1">
        <f t="array" ref="H70">_xlfn.LET(_xlpm.x,SUMIFS(heatmap[[Value]:[Value]],heatmap[[Name]:[Name]],$F$62,heatmap[[Column]:[Column]],H$2,heatmap[[Row]:[Row]],$F70)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70" s="8" t="e" cm="1" vm="1">
        <f t="array" ref="I70">_xlfn.LET(_xlpm.x,SUMIFS(heatmap[[Value]:[Value]],heatmap[[Name]:[Name]],$F$62,heatmap[[Column]:[Column]],I$2,heatmap[[Row]:[Row]],$F70)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70" s="8" t="e" cm="1" vm="1">
        <f t="array" ref="J70">_xlfn.LET(_xlpm.x,SUMIFS(heatmap[[Value]:[Value]],heatmap[[Name]:[Name]],$F$62,heatmap[[Column]:[Column]],J$2,heatmap[[Row]:[Row]],$F70)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70" s="8" t="e" cm="1" vm="1">
        <f t="array" ref="K70">_xlfn.LET(_xlpm.x,SUMIFS(heatmap[[Value]:[Value]],heatmap[[Name]:[Name]],$F$62,heatmap[[Column]:[Column]],K$2,heatmap[[Row]:[Row]],$F70)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70" s="8" t="e" cm="1" vm="1">
        <f t="array" ref="L70">_xlfn.LET(_xlpm.x,SUMIFS(heatmap[[Value]:[Value]],heatmap[[Name]:[Name]],$F$62,heatmap[[Column]:[Column]],L$2,heatmap[[Row]:[Row]],$F70)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70" s="8" t="e" cm="1" vm="1">
        <f t="array" ref="M70">_xlfn.LET(_xlpm.x,SUMIFS(heatmap[[Value]:[Value]],heatmap[[Name]:[Name]],$F$62,heatmap[[Column]:[Column]],M$2,heatmap[[Row]:[Row]],$F70)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70" s="8" t="e" cm="1" vm="1">
        <f t="array" ref="N70">_xlfn.LET(_xlpm.x,SUMIFS(heatmap[[Value]:[Value]],heatmap[[Name]:[Name]],$F$62,heatmap[[Column]:[Column]],N$2,heatmap[[Row]:[Row]],$F70)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71" spans="5:14" x14ac:dyDescent="0.25">
      <c r="E71"/>
      <c r="F71">
        <v>9</v>
      </c>
      <c r="G71" s="8" t="e" cm="1" vm="1">
        <f t="array" ref="G71">_xlfn.LET(_xlpm.x,SUMIFS(heatmap[[Value]:[Value]],heatmap[[Name]:[Name]],$F$62,heatmap[[Column]:[Column]],G$2,heatmap[[Row]:[Row]],$F71)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71" s="8" t="e" cm="1" vm="1">
        <f t="array" ref="H71">_xlfn.LET(_xlpm.x,SUMIFS(heatmap[[Value]:[Value]],heatmap[[Name]:[Name]],$F$62,heatmap[[Column]:[Column]],H$2,heatmap[[Row]:[Row]],$F71)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71" s="8" t="e" cm="1" vm="1">
        <f t="array" ref="I71">_xlfn.LET(_xlpm.x,SUMIFS(heatmap[[Value]:[Value]],heatmap[[Name]:[Name]],$F$62,heatmap[[Column]:[Column]],I$2,heatmap[[Row]:[Row]],$F71)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71" s="8" t="e" cm="1" vm="1">
        <f t="array" ref="J71">_xlfn.LET(_xlpm.x,SUMIFS(heatmap[[Value]:[Value]],heatmap[[Name]:[Name]],$F$62,heatmap[[Column]:[Column]],J$2,heatmap[[Row]:[Row]],$F71)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71" s="8" t="e" cm="1" vm="1">
        <f t="array" ref="K71">_xlfn.LET(_xlpm.x,SUMIFS(heatmap[[Value]:[Value]],heatmap[[Name]:[Name]],$F$62,heatmap[[Column]:[Column]],K$2,heatmap[[Row]:[Row]],$F71)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71" s="8" t="e" cm="1" vm="1">
        <f t="array" ref="L71">_xlfn.LET(_xlpm.x,SUMIFS(heatmap[[Value]:[Value]],heatmap[[Name]:[Name]],$F$62,heatmap[[Column]:[Column]],L$2,heatmap[[Row]:[Row]],$F71)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71" s="8" t="e" cm="1" vm="1">
        <f t="array" ref="M71">_xlfn.LET(_xlpm.x,SUMIFS(heatmap[[Value]:[Value]],heatmap[[Name]:[Name]],$F$62,heatmap[[Column]:[Column]],M$2,heatmap[[Row]:[Row]],$F71)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71" s="8" t="e" cm="1" vm="1">
        <f t="array" ref="N71">_xlfn.LET(_xlpm.x,SUMIFS(heatmap[[Value]:[Value]],heatmap[[Name]:[Name]],$F$62,heatmap[[Column]:[Column]],N$2,heatmap[[Row]:[Row]],$F71)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72" spans="5:14" x14ac:dyDescent="0.25">
      <c r="E72"/>
      <c r="F72">
        <v>10</v>
      </c>
      <c r="G72" s="8" t="e" cm="1" vm="1">
        <f t="array" ref="G72">_xlfn.LET(_xlpm.x,SUMIFS(heatmap[[Value]:[Value]],heatmap[[Name]:[Name]],$F$62,heatmap[[Column]:[Column]],G$2,heatmap[[Row]:[Row]],$F72)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72" s="8" t="e" cm="1" vm="1">
        <f t="array" ref="H72">_xlfn.LET(_xlpm.x,SUMIFS(heatmap[[Value]:[Value]],heatmap[[Name]:[Name]],$F$62,heatmap[[Column]:[Column]],H$2,heatmap[[Row]:[Row]],$F72)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72" s="8" t="e" cm="1" vm="1">
        <f t="array" ref="I72">_xlfn.LET(_xlpm.x,SUMIFS(heatmap[[Value]:[Value]],heatmap[[Name]:[Name]],$F$62,heatmap[[Column]:[Column]],I$2,heatmap[[Row]:[Row]],$F72)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72" s="8" t="e" cm="1" vm="1">
        <f t="array" ref="J72">_xlfn.LET(_xlpm.x,SUMIFS(heatmap[[Value]:[Value]],heatmap[[Name]:[Name]],$F$62,heatmap[[Column]:[Column]],J$2,heatmap[[Row]:[Row]],$F72)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72" s="8" t="e" cm="1" vm="1">
        <f t="array" ref="K72">_xlfn.LET(_xlpm.x,SUMIFS(heatmap[[Value]:[Value]],heatmap[[Name]:[Name]],$F$62,heatmap[[Column]:[Column]],K$2,heatmap[[Row]:[Row]],$F72)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72" s="8" t="e" cm="1" vm="1">
        <f t="array" ref="L72">_xlfn.LET(_xlpm.x,SUMIFS(heatmap[[Value]:[Value]],heatmap[[Name]:[Name]],$F$62,heatmap[[Column]:[Column]],L$2,heatmap[[Row]:[Row]],$F72)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72" s="8" t="e" cm="1" vm="1">
        <f t="array" ref="M72">_xlfn.LET(_xlpm.x,SUMIFS(heatmap[[Value]:[Value]],heatmap[[Name]:[Name]],$F$62,heatmap[[Column]:[Column]],M$2,heatmap[[Row]:[Row]],$F72)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72" s="8" t="e" cm="1" vm="1">
        <f t="array" ref="N72">_xlfn.LET(_xlpm.x,SUMIFS(heatmap[[Value]:[Value]],heatmap[[Name]:[Name]],$F$62,heatmap[[Column]:[Column]],N$2,heatmap[[Row]:[Row]],$F72)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73" spans="5:14" x14ac:dyDescent="0.25">
      <c r="E73"/>
      <c r="F73"/>
      <c r="G73" s="1"/>
      <c r="H73" s="1"/>
      <c r="I73" s="1"/>
      <c r="J73" s="1"/>
      <c r="K73" s="1"/>
      <c r="L73" s="1"/>
    </row>
    <row r="74" spans="5:14" x14ac:dyDescent="0.25">
      <c r="E74"/>
      <c r="F74" t="s">
        <v>17</v>
      </c>
      <c r="G74" s="2">
        <v>1</v>
      </c>
      <c r="H74" s="2">
        <v>2</v>
      </c>
      <c r="I74" s="2">
        <v>3</v>
      </c>
      <c r="J74" s="2">
        <v>4</v>
      </c>
      <c r="K74" s="2">
        <v>5</v>
      </c>
      <c r="L74" s="2">
        <v>6</v>
      </c>
      <c r="M74" s="2">
        <v>7</v>
      </c>
      <c r="N74" s="2">
        <v>8</v>
      </c>
    </row>
    <row r="75" spans="5:14" x14ac:dyDescent="0.25">
      <c r="E75"/>
      <c r="F75">
        <v>1</v>
      </c>
      <c r="G75" s="8" t="e" cm="1" vm="1">
        <f t="array" ref="G75">_xlfn.LET(_xlpm.x,SUMIFS(heatmap[[Value]:[Value]],heatmap[[Name]:[Name]],$F$74,heatmap[[Column]:[Column]],G$2,heatmap[[Row]:[Row]],$F75)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75" s="8" t="e" cm="1" vm="1">
        <f t="array" ref="H75">_xlfn.LET(_xlpm.x,SUMIFS(heatmap[[Value]:[Value]],heatmap[[Name]:[Name]],$F$74,heatmap[[Column]:[Column]],H$2,heatmap[[Row]:[Row]],$F75)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75" s="8" t="e" cm="1" vm="1">
        <f t="array" ref="I75">_xlfn.LET(_xlpm.x,SUMIFS(heatmap[[Value]:[Value]],heatmap[[Name]:[Name]],$F$74,heatmap[[Column]:[Column]],I$2,heatmap[[Row]:[Row]],$F75)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75" s="8" t="e" cm="1" vm="1">
        <f t="array" ref="J75">_xlfn.LET(_xlpm.x,SUMIFS(heatmap[[Value]:[Value]],heatmap[[Name]:[Name]],$F$74,heatmap[[Column]:[Column]],J$2,heatmap[[Row]:[Row]],$F75)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75" s="8" t="e" cm="1" vm="1">
        <f t="array" ref="K75">_xlfn.LET(_xlpm.x,SUMIFS(heatmap[[Value]:[Value]],heatmap[[Name]:[Name]],$F$74,heatmap[[Column]:[Column]],K$2,heatmap[[Row]:[Row]],$F75)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75" s="8" t="e" cm="1" vm="1">
        <f t="array" ref="L75">_xlfn.LET(_xlpm.x,SUMIFS(heatmap[[Value]:[Value]],heatmap[[Name]:[Name]],$F$74,heatmap[[Column]:[Column]],L$2,heatmap[[Row]:[Row]],$F75)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75" s="8" t="e" cm="1" vm="1">
        <f t="array" ref="M75">_xlfn.LET(_xlpm.x,SUMIFS(heatmap[[Value]:[Value]],heatmap[[Name]:[Name]],$F$74,heatmap[[Column]:[Column]],M$2,heatmap[[Row]:[Row]],$F75)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75" s="8" t="e" cm="1" vm="1">
        <f t="array" ref="N75">_xlfn.LET(_xlpm.x,SUMIFS(heatmap[[Value]:[Value]],heatmap[[Name]:[Name]],$F$74,heatmap[[Column]:[Column]],N$2,heatmap[[Row]:[Row]],$F75)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76" spans="5:14" x14ac:dyDescent="0.25">
      <c r="E76"/>
      <c r="F76">
        <v>2</v>
      </c>
      <c r="G76" s="8" t="e" cm="1" vm="1">
        <f t="array" ref="G76">_xlfn.LET(_xlpm.x,SUMIFS(heatmap[[Value]:[Value]],heatmap[[Name]:[Name]],$F$74,heatmap[[Column]:[Column]],G$2,heatmap[[Row]:[Row]],$F76)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76" s="8" t="e" cm="1" vm="1">
        <f t="array" ref="H76">_xlfn.LET(_xlpm.x,SUMIFS(heatmap[[Value]:[Value]],heatmap[[Name]:[Name]],$F$74,heatmap[[Column]:[Column]],H$2,heatmap[[Row]:[Row]],$F76)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76" s="8" t="e" cm="1" vm="1">
        <f t="array" ref="I76">_xlfn.LET(_xlpm.x,SUMIFS(heatmap[[Value]:[Value]],heatmap[[Name]:[Name]],$F$74,heatmap[[Column]:[Column]],I$2,heatmap[[Row]:[Row]],$F76)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76" s="8" t="e" cm="1" vm="1">
        <f t="array" ref="J76">_xlfn.LET(_xlpm.x,SUMIFS(heatmap[[Value]:[Value]],heatmap[[Name]:[Name]],$F$74,heatmap[[Column]:[Column]],J$2,heatmap[[Row]:[Row]],$F76)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76" s="8" t="e" cm="1" vm="1">
        <f t="array" ref="K76">_xlfn.LET(_xlpm.x,SUMIFS(heatmap[[Value]:[Value]],heatmap[[Name]:[Name]],$F$74,heatmap[[Column]:[Column]],K$2,heatmap[[Row]:[Row]],$F76)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76" s="8" t="e" cm="1" vm="1">
        <f t="array" ref="L76">_xlfn.LET(_xlpm.x,SUMIFS(heatmap[[Value]:[Value]],heatmap[[Name]:[Name]],$F$74,heatmap[[Column]:[Column]],L$2,heatmap[[Row]:[Row]],$F76)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76" s="8" t="e" cm="1" vm="1">
        <f t="array" ref="M76">_xlfn.LET(_xlpm.x,SUMIFS(heatmap[[Value]:[Value]],heatmap[[Name]:[Name]],$F$74,heatmap[[Column]:[Column]],M$2,heatmap[[Row]:[Row]],$F76)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76" s="8" t="e" cm="1" vm="1">
        <f t="array" ref="N76">_xlfn.LET(_xlpm.x,SUMIFS(heatmap[[Value]:[Value]],heatmap[[Name]:[Name]],$F$74,heatmap[[Column]:[Column]],N$2,heatmap[[Row]:[Row]],$F76)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77" spans="5:14" x14ac:dyDescent="0.25">
      <c r="E77"/>
      <c r="F77">
        <v>3</v>
      </c>
      <c r="G77" s="8" t="e" cm="1" vm="1">
        <f t="array" ref="G77">_xlfn.LET(_xlpm.x,SUMIFS(heatmap[[Value]:[Value]],heatmap[[Name]:[Name]],$F$74,heatmap[[Column]:[Column]],G$2,heatmap[[Row]:[Row]],$F77)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77" s="8" t="e" cm="1" vm="1">
        <f t="array" ref="H77">_xlfn.LET(_xlpm.x,SUMIFS(heatmap[[Value]:[Value]],heatmap[[Name]:[Name]],$F$74,heatmap[[Column]:[Column]],H$2,heatmap[[Row]:[Row]],$F77)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77" s="8" t="e" cm="1" vm="1">
        <f t="array" ref="I77">_xlfn.LET(_xlpm.x,SUMIFS(heatmap[[Value]:[Value]],heatmap[[Name]:[Name]],$F$74,heatmap[[Column]:[Column]],I$2,heatmap[[Row]:[Row]],$F77)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77" s="8" t="e" cm="1" vm="1">
        <f t="array" ref="J77">_xlfn.LET(_xlpm.x,SUMIFS(heatmap[[Value]:[Value]],heatmap[[Name]:[Name]],$F$74,heatmap[[Column]:[Column]],J$2,heatmap[[Row]:[Row]],$F77)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77" s="8" t="e" cm="1" vm="1">
        <f t="array" ref="K77">_xlfn.LET(_xlpm.x,SUMIFS(heatmap[[Value]:[Value]],heatmap[[Name]:[Name]],$F$74,heatmap[[Column]:[Column]],K$2,heatmap[[Row]:[Row]],$F77)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77" s="8" t="e" cm="1" vm="1">
        <f t="array" ref="L77">_xlfn.LET(_xlpm.x,SUMIFS(heatmap[[Value]:[Value]],heatmap[[Name]:[Name]],$F$74,heatmap[[Column]:[Column]],L$2,heatmap[[Row]:[Row]],$F77)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77" s="8" t="e" cm="1" vm="1">
        <f t="array" ref="M77">_xlfn.LET(_xlpm.x,SUMIFS(heatmap[[Value]:[Value]],heatmap[[Name]:[Name]],$F$74,heatmap[[Column]:[Column]],M$2,heatmap[[Row]:[Row]],$F77)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77" s="8" t="e" cm="1" vm="1">
        <f t="array" ref="N77">_xlfn.LET(_xlpm.x,SUMIFS(heatmap[[Value]:[Value]],heatmap[[Name]:[Name]],$F$74,heatmap[[Column]:[Column]],N$2,heatmap[[Row]:[Row]],$F77)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78" spans="5:14" x14ac:dyDescent="0.25">
      <c r="E78"/>
      <c r="F78">
        <v>4</v>
      </c>
      <c r="G78" s="8" t="e" cm="1" vm="1">
        <f t="array" ref="G78">_xlfn.LET(_xlpm.x,SUMIFS(heatmap[[Value]:[Value]],heatmap[[Name]:[Name]],$F$74,heatmap[[Column]:[Column]],G$2,heatmap[[Row]:[Row]],$F78)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78" s="8" t="e" cm="1" vm="1">
        <f t="array" ref="H78">_xlfn.LET(_xlpm.x,SUMIFS(heatmap[[Value]:[Value]],heatmap[[Name]:[Name]],$F$74,heatmap[[Column]:[Column]],H$2,heatmap[[Row]:[Row]],$F78)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78" s="8" t="e" cm="1" vm="1">
        <f t="array" ref="I78">_xlfn.LET(_xlpm.x,SUMIFS(heatmap[[Value]:[Value]],heatmap[[Name]:[Name]],$F$74,heatmap[[Column]:[Column]],I$2,heatmap[[Row]:[Row]],$F78)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78" s="8" t="e" cm="1" vm="1">
        <f t="array" ref="J78">_xlfn.LET(_xlpm.x,SUMIFS(heatmap[[Value]:[Value]],heatmap[[Name]:[Name]],$F$74,heatmap[[Column]:[Column]],J$2,heatmap[[Row]:[Row]],$F78)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78" s="8" t="e" cm="1" vm="1">
        <f t="array" ref="K78">_xlfn.LET(_xlpm.x,SUMIFS(heatmap[[Value]:[Value]],heatmap[[Name]:[Name]],$F$74,heatmap[[Column]:[Column]],K$2,heatmap[[Row]:[Row]],$F78)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78" s="8" t="e" cm="1" vm="1">
        <f t="array" ref="L78">_xlfn.LET(_xlpm.x,SUMIFS(heatmap[[Value]:[Value]],heatmap[[Name]:[Name]],$F$74,heatmap[[Column]:[Column]],L$2,heatmap[[Row]:[Row]],$F78)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78" s="8" t="e" cm="1" vm="1">
        <f t="array" ref="M78">_xlfn.LET(_xlpm.x,SUMIFS(heatmap[[Value]:[Value]],heatmap[[Name]:[Name]],$F$74,heatmap[[Column]:[Column]],M$2,heatmap[[Row]:[Row]],$F78)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78" s="8" t="e" cm="1" vm="1">
        <f t="array" ref="N78">_xlfn.LET(_xlpm.x,SUMIFS(heatmap[[Value]:[Value]],heatmap[[Name]:[Name]],$F$74,heatmap[[Column]:[Column]],N$2,heatmap[[Row]:[Row]],$F78)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79" spans="5:14" x14ac:dyDescent="0.25">
      <c r="E79"/>
      <c r="F79">
        <v>5</v>
      </c>
      <c r="G79" s="8" t="e" cm="1" vm="1">
        <f t="array" ref="G79">_xlfn.LET(_xlpm.x,SUMIFS(heatmap[[Value]:[Value]],heatmap[[Name]:[Name]],$F$74,heatmap[[Column]:[Column]],G$2,heatmap[[Row]:[Row]],$F79)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79" s="8" t="e" cm="1" vm="1">
        <f t="array" ref="H79">_xlfn.LET(_xlpm.x,SUMIFS(heatmap[[Value]:[Value]],heatmap[[Name]:[Name]],$F$74,heatmap[[Column]:[Column]],H$2,heatmap[[Row]:[Row]],$F79)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79" s="8" t="e" cm="1" vm="1">
        <f t="array" ref="I79">_xlfn.LET(_xlpm.x,SUMIFS(heatmap[[Value]:[Value]],heatmap[[Name]:[Name]],$F$74,heatmap[[Column]:[Column]],I$2,heatmap[[Row]:[Row]],$F79)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79" s="8" t="e" cm="1" vm="1">
        <f t="array" ref="J79">_xlfn.LET(_xlpm.x,SUMIFS(heatmap[[Value]:[Value]],heatmap[[Name]:[Name]],$F$74,heatmap[[Column]:[Column]],J$2,heatmap[[Row]:[Row]],$F79)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79" s="8" t="e" cm="1" vm="1">
        <f t="array" ref="K79">_xlfn.LET(_xlpm.x,SUMIFS(heatmap[[Value]:[Value]],heatmap[[Name]:[Name]],$F$74,heatmap[[Column]:[Column]],K$2,heatmap[[Row]:[Row]],$F79)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79" s="8" t="e" cm="1" vm="1">
        <f t="array" ref="L79">_xlfn.LET(_xlpm.x,SUMIFS(heatmap[[Value]:[Value]],heatmap[[Name]:[Name]],$F$74,heatmap[[Column]:[Column]],L$2,heatmap[[Row]:[Row]],$F79)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79" s="8" t="e" cm="1" vm="1">
        <f t="array" ref="M79">_xlfn.LET(_xlpm.x,SUMIFS(heatmap[[Value]:[Value]],heatmap[[Name]:[Name]],$F$74,heatmap[[Column]:[Column]],M$2,heatmap[[Row]:[Row]],$F79)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79" s="8" t="e" cm="1" vm="1">
        <f t="array" ref="N79">_xlfn.LET(_xlpm.x,SUMIFS(heatmap[[Value]:[Value]],heatmap[[Name]:[Name]],$F$74,heatmap[[Column]:[Column]],N$2,heatmap[[Row]:[Row]],$F79)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80" spans="5:14" x14ac:dyDescent="0.25">
      <c r="E80"/>
      <c r="F80">
        <v>6</v>
      </c>
      <c r="G80" s="8" t="e" cm="1" vm="1">
        <f t="array" ref="G80">_xlfn.LET(_xlpm.x,SUMIFS(heatmap[[Value]:[Value]],heatmap[[Name]:[Name]],$F$74,heatmap[[Column]:[Column]],G$2,heatmap[[Row]:[Row]],$F80)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80" s="8" t="e" cm="1" vm="1">
        <f t="array" ref="H80">_xlfn.LET(_xlpm.x,SUMIFS(heatmap[[Value]:[Value]],heatmap[[Name]:[Name]],$F$74,heatmap[[Column]:[Column]],H$2,heatmap[[Row]:[Row]],$F80)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80" s="8" t="e" cm="1" vm="1">
        <f t="array" ref="I80">_xlfn.LET(_xlpm.x,SUMIFS(heatmap[[Value]:[Value]],heatmap[[Name]:[Name]],$F$74,heatmap[[Column]:[Column]],I$2,heatmap[[Row]:[Row]],$F80)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80" s="8" t="e" cm="1" vm="1">
        <f t="array" ref="J80">_xlfn.LET(_xlpm.x,SUMIFS(heatmap[[Value]:[Value]],heatmap[[Name]:[Name]],$F$74,heatmap[[Column]:[Column]],J$2,heatmap[[Row]:[Row]],$F80)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80" s="8" t="e" cm="1" vm="1">
        <f t="array" ref="K80">_xlfn.LET(_xlpm.x,SUMIFS(heatmap[[Value]:[Value]],heatmap[[Name]:[Name]],$F$74,heatmap[[Column]:[Column]],K$2,heatmap[[Row]:[Row]],$F80)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80" s="8" t="e" cm="1" vm="1">
        <f t="array" ref="L80">_xlfn.LET(_xlpm.x,SUMIFS(heatmap[[Value]:[Value]],heatmap[[Name]:[Name]],$F$74,heatmap[[Column]:[Column]],L$2,heatmap[[Row]:[Row]],$F80)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80" s="8" t="e" cm="1" vm="1">
        <f t="array" ref="M80">_xlfn.LET(_xlpm.x,SUMIFS(heatmap[[Value]:[Value]],heatmap[[Name]:[Name]],$F$74,heatmap[[Column]:[Column]],M$2,heatmap[[Row]:[Row]],$F80)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80" s="8" t="e" cm="1" vm="1">
        <f t="array" ref="N80">_xlfn.LET(_xlpm.x,SUMIFS(heatmap[[Value]:[Value]],heatmap[[Name]:[Name]],$F$74,heatmap[[Column]:[Column]],N$2,heatmap[[Row]:[Row]],$F80)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81" spans="5:14" x14ac:dyDescent="0.25">
      <c r="E81"/>
      <c r="F81">
        <v>7</v>
      </c>
      <c r="G81" s="8" t="e" cm="1" vm="1">
        <f t="array" ref="G81">_xlfn.LET(_xlpm.x,SUMIFS(heatmap[[Value]:[Value]],heatmap[[Name]:[Name]],$F$74,heatmap[[Column]:[Column]],G$2,heatmap[[Row]:[Row]],$F81)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81" s="8" t="e" cm="1" vm="1">
        <f t="array" ref="H81">_xlfn.LET(_xlpm.x,SUMIFS(heatmap[[Value]:[Value]],heatmap[[Name]:[Name]],$F$74,heatmap[[Column]:[Column]],H$2,heatmap[[Row]:[Row]],$F81)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81" s="8" t="e" cm="1" vm="1">
        <f t="array" ref="I81">_xlfn.LET(_xlpm.x,SUMIFS(heatmap[[Value]:[Value]],heatmap[[Name]:[Name]],$F$74,heatmap[[Column]:[Column]],I$2,heatmap[[Row]:[Row]],$F81)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81" s="8" t="e" cm="1" vm="1">
        <f t="array" ref="J81">_xlfn.LET(_xlpm.x,SUMIFS(heatmap[[Value]:[Value]],heatmap[[Name]:[Name]],$F$74,heatmap[[Column]:[Column]],J$2,heatmap[[Row]:[Row]],$F81)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81" s="8" t="e" cm="1" vm="1">
        <f t="array" ref="K81">_xlfn.LET(_xlpm.x,SUMIFS(heatmap[[Value]:[Value]],heatmap[[Name]:[Name]],$F$74,heatmap[[Column]:[Column]],K$2,heatmap[[Row]:[Row]],$F81)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81" s="8" t="e" cm="1" vm="1">
        <f t="array" ref="L81">_xlfn.LET(_xlpm.x,SUMIFS(heatmap[[Value]:[Value]],heatmap[[Name]:[Name]],$F$74,heatmap[[Column]:[Column]],L$2,heatmap[[Row]:[Row]],$F81)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81" s="8" t="e" cm="1" vm="1">
        <f t="array" ref="M81">_xlfn.LET(_xlpm.x,SUMIFS(heatmap[[Value]:[Value]],heatmap[[Name]:[Name]],$F$74,heatmap[[Column]:[Column]],M$2,heatmap[[Row]:[Row]],$F81)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81" s="8" t="e" cm="1" vm="1">
        <f t="array" ref="N81">_xlfn.LET(_xlpm.x,SUMIFS(heatmap[[Value]:[Value]],heatmap[[Name]:[Name]],$F$74,heatmap[[Column]:[Column]],N$2,heatmap[[Row]:[Row]],$F81)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82" spans="5:14" x14ac:dyDescent="0.25">
      <c r="E82"/>
      <c r="F82">
        <v>8</v>
      </c>
      <c r="G82" s="8" t="e" cm="1" vm="1">
        <f t="array" ref="G82">_xlfn.LET(_xlpm.x,SUMIFS(heatmap[[Value]:[Value]],heatmap[[Name]:[Name]],$F$74,heatmap[[Column]:[Column]],G$2,heatmap[[Row]:[Row]],$F82)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82" s="8" t="e" cm="1" vm="1">
        <f t="array" ref="H82">_xlfn.LET(_xlpm.x,SUMIFS(heatmap[[Value]:[Value]],heatmap[[Name]:[Name]],$F$74,heatmap[[Column]:[Column]],H$2,heatmap[[Row]:[Row]],$F82)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82" s="8" t="e" cm="1" vm="1">
        <f t="array" ref="I82">_xlfn.LET(_xlpm.x,SUMIFS(heatmap[[Value]:[Value]],heatmap[[Name]:[Name]],$F$74,heatmap[[Column]:[Column]],I$2,heatmap[[Row]:[Row]],$F82)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82" s="8" t="e" cm="1" vm="1">
        <f t="array" ref="J82">_xlfn.LET(_xlpm.x,SUMIFS(heatmap[[Value]:[Value]],heatmap[[Name]:[Name]],$F$74,heatmap[[Column]:[Column]],J$2,heatmap[[Row]:[Row]],$F82)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82" s="8" t="e" cm="1" vm="1">
        <f t="array" ref="K82">_xlfn.LET(_xlpm.x,SUMIFS(heatmap[[Value]:[Value]],heatmap[[Name]:[Name]],$F$74,heatmap[[Column]:[Column]],K$2,heatmap[[Row]:[Row]],$F82)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82" s="8" t="e" cm="1" vm="1">
        <f t="array" ref="L82">_xlfn.LET(_xlpm.x,SUMIFS(heatmap[[Value]:[Value]],heatmap[[Name]:[Name]],$F$74,heatmap[[Column]:[Column]],L$2,heatmap[[Row]:[Row]],$F82)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82" s="8" t="e" cm="1" vm="1">
        <f t="array" ref="M82">_xlfn.LET(_xlpm.x,SUMIFS(heatmap[[Value]:[Value]],heatmap[[Name]:[Name]],$F$74,heatmap[[Column]:[Column]],M$2,heatmap[[Row]:[Row]],$F82)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82" s="8" t="e" cm="1" vm="1">
        <f t="array" ref="N82">_xlfn.LET(_xlpm.x,SUMIFS(heatmap[[Value]:[Value]],heatmap[[Name]:[Name]],$F$74,heatmap[[Column]:[Column]],N$2,heatmap[[Row]:[Row]],$F82)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83" spans="5:14" x14ac:dyDescent="0.25">
      <c r="F83">
        <v>9</v>
      </c>
      <c r="G83" s="8" t="e" cm="1" vm="1">
        <f t="array" ref="G83">_xlfn.LET(_xlpm.x,SUMIFS(heatmap[[Value]:[Value]],heatmap[[Name]:[Name]],$F$74,heatmap[[Column]:[Column]],G$2,heatmap[[Row]:[Row]],$F83)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83" s="8" t="e" cm="1" vm="1">
        <f t="array" ref="H83">_xlfn.LET(_xlpm.x,SUMIFS(heatmap[[Value]:[Value]],heatmap[[Name]:[Name]],$F$74,heatmap[[Column]:[Column]],H$2,heatmap[[Row]:[Row]],$F83)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83" s="8" t="e" cm="1" vm="1">
        <f t="array" ref="I83">_xlfn.LET(_xlpm.x,SUMIFS(heatmap[[Value]:[Value]],heatmap[[Name]:[Name]],$F$74,heatmap[[Column]:[Column]],I$2,heatmap[[Row]:[Row]],$F83)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83" s="8" t="e" cm="1" vm="1">
        <f t="array" ref="J83">_xlfn.LET(_xlpm.x,SUMIFS(heatmap[[Value]:[Value]],heatmap[[Name]:[Name]],$F$74,heatmap[[Column]:[Column]],J$2,heatmap[[Row]:[Row]],$F83)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83" s="8" t="e" cm="1" vm="1">
        <f t="array" ref="K83">_xlfn.LET(_xlpm.x,SUMIFS(heatmap[[Value]:[Value]],heatmap[[Name]:[Name]],$F$74,heatmap[[Column]:[Column]],K$2,heatmap[[Row]:[Row]],$F83)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83" s="8" t="e" cm="1" vm="1">
        <f t="array" ref="L83">_xlfn.LET(_xlpm.x,SUMIFS(heatmap[[Value]:[Value]],heatmap[[Name]:[Name]],$F$74,heatmap[[Column]:[Column]],L$2,heatmap[[Row]:[Row]],$F83)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83" s="8" t="e" cm="1" vm="1">
        <f t="array" ref="M83">_xlfn.LET(_xlpm.x,SUMIFS(heatmap[[Value]:[Value]],heatmap[[Name]:[Name]],$F$74,heatmap[[Column]:[Column]],M$2,heatmap[[Row]:[Row]],$F83)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83" s="8" t="e" cm="1" vm="1">
        <f t="array" ref="N83">_xlfn.LET(_xlpm.x,SUMIFS(heatmap[[Value]:[Value]],heatmap[[Name]:[Name]],$F$74,heatmap[[Column]:[Column]],N$2,heatmap[[Row]:[Row]],$F83)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84" spans="5:14" x14ac:dyDescent="0.25">
      <c r="F84">
        <v>10</v>
      </c>
      <c r="G84" s="8" t="e" cm="1" vm="1">
        <f t="array" ref="G84">_xlfn.LET(_xlpm.x,SUMIFS(heatmap[[Value]:[Value]],heatmap[[Name]:[Name]],$F$74,heatmap[[Column]:[Column]],G$2,heatmap[[Row]:[Row]],$F84)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84" s="8" t="e" cm="1" vm="1">
        <f t="array" ref="H84">_xlfn.LET(_xlpm.x,SUMIFS(heatmap[[Value]:[Value]],heatmap[[Name]:[Name]],$F$74,heatmap[[Column]:[Column]],H$2,heatmap[[Row]:[Row]],$F84)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84" s="8" t="e" cm="1" vm="1">
        <f t="array" ref="I84">_xlfn.LET(_xlpm.x,SUMIFS(heatmap[[Value]:[Value]],heatmap[[Name]:[Name]],$F$74,heatmap[[Column]:[Column]],I$2,heatmap[[Row]:[Row]],$F84)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84" s="8" t="e" cm="1" vm="1">
        <f t="array" ref="J84">_xlfn.LET(_xlpm.x,SUMIFS(heatmap[[Value]:[Value]],heatmap[[Name]:[Name]],$F$74,heatmap[[Column]:[Column]],J$2,heatmap[[Row]:[Row]],$F84)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84" s="8" t="e" cm="1" vm="1">
        <f t="array" ref="K84">_xlfn.LET(_xlpm.x,SUMIFS(heatmap[[Value]:[Value]],heatmap[[Name]:[Name]],$F$74,heatmap[[Column]:[Column]],K$2,heatmap[[Row]:[Row]],$F84)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84" s="8" t="e" cm="1" vm="1">
        <f t="array" ref="L84">_xlfn.LET(_xlpm.x,SUMIFS(heatmap[[Value]:[Value]],heatmap[[Name]:[Name]],$F$74,heatmap[[Column]:[Column]],L$2,heatmap[[Row]:[Row]],$F84)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84" s="8" t="e" cm="1" vm="1">
        <f t="array" ref="M84">_xlfn.LET(_xlpm.x,SUMIFS(heatmap[[Value]:[Value]],heatmap[[Name]:[Name]],$F$74,heatmap[[Column]:[Column]],M$2,heatmap[[Row]:[Row]],$F84)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84" s="8" t="e" cm="1" vm="1">
        <f t="array" ref="N84">_xlfn.LET(_xlpm.x,SUMIFS(heatmap[[Value]:[Value]],heatmap[[Name]:[Name]],$F$74,heatmap[[Column]:[Column]],N$2,heatmap[[Row]:[Row]],$F84)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86" spans="5:14" x14ac:dyDescent="0.25">
      <c r="F86" t="s">
        <v>16</v>
      </c>
      <c r="G86" s="2">
        <v>1</v>
      </c>
      <c r="H86" s="2">
        <v>2</v>
      </c>
      <c r="I86" s="2">
        <v>3</v>
      </c>
      <c r="J86" s="2">
        <v>4</v>
      </c>
      <c r="K86" s="2">
        <v>5</v>
      </c>
      <c r="L86" s="2">
        <v>6</v>
      </c>
      <c r="M86" s="2">
        <v>7</v>
      </c>
      <c r="N86" s="2">
        <v>8</v>
      </c>
    </row>
    <row r="87" spans="5:14" x14ac:dyDescent="0.25">
      <c r="F87">
        <v>1</v>
      </c>
      <c r="G87" s="8" t="e" cm="1" vm="1">
        <f t="array" ref="G87">_xlfn.LET(_xlpm.x,SUMIFS(heatmap[[Value]:[Value]],heatmap[[Name]:[Name]],$F$86,heatmap[[Column]:[Column]],G$2,heatmap[[Row]:[Row]],$F87)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87" s="8" t="e" cm="1" vm="1">
        <f t="array" ref="H87">_xlfn.LET(_xlpm.x,SUMIFS(heatmap[[Value]:[Value]],heatmap[[Name]:[Name]],$F$86,heatmap[[Column]:[Column]],H$2,heatmap[[Row]:[Row]],$F87)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87" s="8" t="e" cm="1" vm="1">
        <f t="array" ref="I87">_xlfn.LET(_xlpm.x,SUMIFS(heatmap[[Value]:[Value]],heatmap[[Name]:[Name]],$F$86,heatmap[[Column]:[Column]],I$2,heatmap[[Row]:[Row]],$F87)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87" s="8" t="e" cm="1" vm="1">
        <f t="array" ref="J87">_xlfn.LET(_xlpm.x,SUMIFS(heatmap[[Value]:[Value]],heatmap[[Name]:[Name]],$F$86,heatmap[[Column]:[Column]],J$2,heatmap[[Row]:[Row]],$F87)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87" s="8" t="e" cm="1" vm="1">
        <f t="array" ref="K87">_xlfn.LET(_xlpm.x,SUMIFS(heatmap[[Value]:[Value]],heatmap[[Name]:[Name]],$F$86,heatmap[[Column]:[Column]],K$2,heatmap[[Row]:[Row]],$F87)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87" s="8" t="e" cm="1" vm="1">
        <f t="array" ref="L87">_xlfn.LET(_xlpm.x,SUMIFS(heatmap[[Value]:[Value]],heatmap[[Name]:[Name]],$F$86,heatmap[[Column]:[Column]],L$2,heatmap[[Row]:[Row]],$F87)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87" s="8" t="e" cm="1" vm="1">
        <f t="array" ref="M87">_xlfn.LET(_xlpm.x,SUMIFS(heatmap[[Value]:[Value]],heatmap[[Name]:[Name]],$F$86,heatmap[[Column]:[Column]],M$2,heatmap[[Row]:[Row]],$F87)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87" s="8" t="e" cm="1" vm="1">
        <f t="array" ref="N87">_xlfn.LET(_xlpm.x,SUMIFS(heatmap[[Value]:[Value]],heatmap[[Name]:[Name]],$F$86,heatmap[[Column]:[Column]],N$2,heatmap[[Row]:[Row]],$F87)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88" spans="5:14" x14ac:dyDescent="0.25">
      <c r="F88">
        <v>2</v>
      </c>
      <c r="G88" s="8" t="e" cm="1" vm="1">
        <f t="array" ref="G88">_xlfn.LET(_xlpm.x,SUMIFS(heatmap[[Value]:[Value]],heatmap[[Name]:[Name]],$F$86,heatmap[[Column]:[Column]],G$2,heatmap[[Row]:[Row]],$F88)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88" s="8" t="e" cm="1" vm="1">
        <f t="array" ref="H88">_xlfn.LET(_xlpm.x,SUMIFS(heatmap[[Value]:[Value]],heatmap[[Name]:[Name]],$F$86,heatmap[[Column]:[Column]],H$2,heatmap[[Row]:[Row]],$F88)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88" s="8" t="e" cm="1" vm="1">
        <f t="array" ref="I88">_xlfn.LET(_xlpm.x,SUMIFS(heatmap[[Value]:[Value]],heatmap[[Name]:[Name]],$F$86,heatmap[[Column]:[Column]],I$2,heatmap[[Row]:[Row]],$F88)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88" s="8" t="e" cm="1" vm="1">
        <f t="array" ref="J88">_xlfn.LET(_xlpm.x,SUMIFS(heatmap[[Value]:[Value]],heatmap[[Name]:[Name]],$F$86,heatmap[[Column]:[Column]],J$2,heatmap[[Row]:[Row]],$F88)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88" s="8" t="e" cm="1" vm="1">
        <f t="array" ref="K88">_xlfn.LET(_xlpm.x,SUMIFS(heatmap[[Value]:[Value]],heatmap[[Name]:[Name]],$F$86,heatmap[[Column]:[Column]],K$2,heatmap[[Row]:[Row]],$F88)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88" s="8" t="e" cm="1" vm="1">
        <f t="array" ref="L88">_xlfn.LET(_xlpm.x,SUMIFS(heatmap[[Value]:[Value]],heatmap[[Name]:[Name]],$F$86,heatmap[[Column]:[Column]],L$2,heatmap[[Row]:[Row]],$F88)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88" s="8" t="e" cm="1" vm="1">
        <f t="array" ref="M88">_xlfn.LET(_xlpm.x,SUMIFS(heatmap[[Value]:[Value]],heatmap[[Name]:[Name]],$F$86,heatmap[[Column]:[Column]],M$2,heatmap[[Row]:[Row]],$F88)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88" s="8" t="e" cm="1" vm="1">
        <f t="array" ref="N88">_xlfn.LET(_xlpm.x,SUMIFS(heatmap[[Value]:[Value]],heatmap[[Name]:[Name]],$F$86,heatmap[[Column]:[Column]],N$2,heatmap[[Row]:[Row]],$F88)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89" spans="5:14" x14ac:dyDescent="0.25">
      <c r="F89">
        <v>3</v>
      </c>
      <c r="G89" s="8" t="e" cm="1" vm="1">
        <f t="array" ref="G89">_xlfn.LET(_xlpm.x,SUMIFS(heatmap[[Value]:[Value]],heatmap[[Name]:[Name]],$F$86,heatmap[[Column]:[Column]],G$2,heatmap[[Row]:[Row]],$F89)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89" s="8" t="e" cm="1" vm="1">
        <f t="array" ref="H89">_xlfn.LET(_xlpm.x,SUMIFS(heatmap[[Value]:[Value]],heatmap[[Name]:[Name]],$F$86,heatmap[[Column]:[Column]],H$2,heatmap[[Row]:[Row]],$F89)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89" s="8" t="e" cm="1" vm="1">
        <f t="array" ref="I89">_xlfn.LET(_xlpm.x,SUMIFS(heatmap[[Value]:[Value]],heatmap[[Name]:[Name]],$F$86,heatmap[[Column]:[Column]],I$2,heatmap[[Row]:[Row]],$F89)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89" s="8" t="e" cm="1" vm="1">
        <f t="array" ref="J89">_xlfn.LET(_xlpm.x,SUMIFS(heatmap[[Value]:[Value]],heatmap[[Name]:[Name]],$F$86,heatmap[[Column]:[Column]],J$2,heatmap[[Row]:[Row]],$F89)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89" s="8" t="e" cm="1" vm="1">
        <f t="array" ref="K89">_xlfn.LET(_xlpm.x,SUMIFS(heatmap[[Value]:[Value]],heatmap[[Name]:[Name]],$F$86,heatmap[[Column]:[Column]],K$2,heatmap[[Row]:[Row]],$F89)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89" s="8" t="e" cm="1" vm="1">
        <f t="array" ref="L89">_xlfn.LET(_xlpm.x,SUMIFS(heatmap[[Value]:[Value]],heatmap[[Name]:[Name]],$F$86,heatmap[[Column]:[Column]],L$2,heatmap[[Row]:[Row]],$F89)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89" s="8" t="e" cm="1" vm="1">
        <f t="array" ref="M89">_xlfn.LET(_xlpm.x,SUMIFS(heatmap[[Value]:[Value]],heatmap[[Name]:[Name]],$F$86,heatmap[[Column]:[Column]],M$2,heatmap[[Row]:[Row]],$F89)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89" s="8" t="e" cm="1" vm="1">
        <f t="array" ref="N89">_xlfn.LET(_xlpm.x,SUMIFS(heatmap[[Value]:[Value]],heatmap[[Name]:[Name]],$F$86,heatmap[[Column]:[Column]],N$2,heatmap[[Row]:[Row]],$F89)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90" spans="5:14" x14ac:dyDescent="0.25">
      <c r="F90">
        <v>4</v>
      </c>
      <c r="G90" s="8" t="e" cm="1" vm="1">
        <f t="array" ref="G90">_xlfn.LET(_xlpm.x,SUMIFS(heatmap[[Value]:[Value]],heatmap[[Name]:[Name]],$F$86,heatmap[[Column]:[Column]],G$2,heatmap[[Row]:[Row]],$F90)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90" s="8" t="e" cm="1" vm="1">
        <f t="array" ref="H90">_xlfn.LET(_xlpm.x,SUMIFS(heatmap[[Value]:[Value]],heatmap[[Name]:[Name]],$F$86,heatmap[[Column]:[Column]],H$2,heatmap[[Row]:[Row]],$F90)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90" s="8" t="e" cm="1" vm="1">
        <f t="array" ref="I90">_xlfn.LET(_xlpm.x,SUMIFS(heatmap[[Value]:[Value]],heatmap[[Name]:[Name]],$F$86,heatmap[[Column]:[Column]],I$2,heatmap[[Row]:[Row]],$F90)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90" s="8" t="e" cm="1" vm="1">
        <f t="array" ref="J90">_xlfn.LET(_xlpm.x,SUMIFS(heatmap[[Value]:[Value]],heatmap[[Name]:[Name]],$F$86,heatmap[[Column]:[Column]],J$2,heatmap[[Row]:[Row]],$F90)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90" s="8" t="e" cm="1" vm="1">
        <f t="array" ref="K90">_xlfn.LET(_xlpm.x,SUMIFS(heatmap[[Value]:[Value]],heatmap[[Name]:[Name]],$F$86,heatmap[[Column]:[Column]],K$2,heatmap[[Row]:[Row]],$F90)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90" s="8" t="e" cm="1" vm="1">
        <f t="array" ref="L90">_xlfn.LET(_xlpm.x,SUMIFS(heatmap[[Value]:[Value]],heatmap[[Name]:[Name]],$F$86,heatmap[[Column]:[Column]],L$2,heatmap[[Row]:[Row]],$F90)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90" s="8" t="e" cm="1" vm="1">
        <f t="array" ref="M90">_xlfn.LET(_xlpm.x,SUMIFS(heatmap[[Value]:[Value]],heatmap[[Name]:[Name]],$F$86,heatmap[[Column]:[Column]],M$2,heatmap[[Row]:[Row]],$F90)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90" s="8" t="e" cm="1" vm="1">
        <f t="array" ref="N90">_xlfn.LET(_xlpm.x,SUMIFS(heatmap[[Value]:[Value]],heatmap[[Name]:[Name]],$F$86,heatmap[[Column]:[Column]],N$2,heatmap[[Row]:[Row]],$F90)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91" spans="5:14" x14ac:dyDescent="0.25">
      <c r="F91">
        <v>5</v>
      </c>
      <c r="G91" s="8" t="e" cm="1" vm="1">
        <f t="array" ref="G91">_xlfn.LET(_xlpm.x,SUMIFS(heatmap[[Value]:[Value]],heatmap[[Name]:[Name]],$F$86,heatmap[[Column]:[Column]],G$2,heatmap[[Row]:[Row]],$F91)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91" s="8" t="e" cm="1" vm="1">
        <f t="array" ref="H91">_xlfn.LET(_xlpm.x,SUMIFS(heatmap[[Value]:[Value]],heatmap[[Name]:[Name]],$F$86,heatmap[[Column]:[Column]],H$2,heatmap[[Row]:[Row]],$F91)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91" s="8" t="e" cm="1" vm="1">
        <f t="array" ref="I91">_xlfn.LET(_xlpm.x,SUMIFS(heatmap[[Value]:[Value]],heatmap[[Name]:[Name]],$F$86,heatmap[[Column]:[Column]],I$2,heatmap[[Row]:[Row]],$F91)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91" s="8" t="e" cm="1" vm="1">
        <f t="array" ref="J91">_xlfn.LET(_xlpm.x,SUMIFS(heatmap[[Value]:[Value]],heatmap[[Name]:[Name]],$F$86,heatmap[[Column]:[Column]],J$2,heatmap[[Row]:[Row]],$F91)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91" s="8" t="e" cm="1" vm="1">
        <f t="array" ref="K91">_xlfn.LET(_xlpm.x,SUMIFS(heatmap[[Value]:[Value]],heatmap[[Name]:[Name]],$F$86,heatmap[[Column]:[Column]],K$2,heatmap[[Row]:[Row]],$F91)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91" s="8" t="e" cm="1" vm="1">
        <f t="array" ref="L91">_xlfn.LET(_xlpm.x,SUMIFS(heatmap[[Value]:[Value]],heatmap[[Name]:[Name]],$F$86,heatmap[[Column]:[Column]],L$2,heatmap[[Row]:[Row]],$F91)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91" s="8" t="e" cm="1" vm="1">
        <f t="array" ref="M91">_xlfn.LET(_xlpm.x,SUMIFS(heatmap[[Value]:[Value]],heatmap[[Name]:[Name]],$F$86,heatmap[[Column]:[Column]],M$2,heatmap[[Row]:[Row]],$F91)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91" s="8" t="e" cm="1" vm="1">
        <f t="array" ref="N91">_xlfn.LET(_xlpm.x,SUMIFS(heatmap[[Value]:[Value]],heatmap[[Name]:[Name]],$F$86,heatmap[[Column]:[Column]],N$2,heatmap[[Row]:[Row]],$F91)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92" spans="5:14" x14ac:dyDescent="0.25">
      <c r="F92">
        <v>6</v>
      </c>
      <c r="G92" s="8" t="e" cm="1" vm="1">
        <f t="array" ref="G92">_xlfn.LET(_xlpm.x,SUMIFS(heatmap[[Value]:[Value]],heatmap[[Name]:[Name]],$F$86,heatmap[[Column]:[Column]],G$2,heatmap[[Row]:[Row]],$F92)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92" s="8" t="e" cm="1" vm="1">
        <f t="array" ref="H92">_xlfn.LET(_xlpm.x,SUMIFS(heatmap[[Value]:[Value]],heatmap[[Name]:[Name]],$F$86,heatmap[[Column]:[Column]],H$2,heatmap[[Row]:[Row]],$F92)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92" s="8" t="e" cm="1" vm="1">
        <f t="array" ref="I92">_xlfn.LET(_xlpm.x,SUMIFS(heatmap[[Value]:[Value]],heatmap[[Name]:[Name]],$F$86,heatmap[[Column]:[Column]],I$2,heatmap[[Row]:[Row]],$F92)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92" s="8" t="e" cm="1" vm="1">
        <f t="array" ref="J92">_xlfn.LET(_xlpm.x,SUMIFS(heatmap[[Value]:[Value]],heatmap[[Name]:[Name]],$F$86,heatmap[[Column]:[Column]],J$2,heatmap[[Row]:[Row]],$F92)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92" s="8" t="e" cm="1" vm="1">
        <f t="array" ref="K92">_xlfn.LET(_xlpm.x,SUMIFS(heatmap[[Value]:[Value]],heatmap[[Name]:[Name]],$F$86,heatmap[[Column]:[Column]],K$2,heatmap[[Row]:[Row]],$F92)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92" s="8" t="e" cm="1" vm="1">
        <f t="array" ref="L92">_xlfn.LET(_xlpm.x,SUMIFS(heatmap[[Value]:[Value]],heatmap[[Name]:[Name]],$F$86,heatmap[[Column]:[Column]],L$2,heatmap[[Row]:[Row]],$F92)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92" s="8" t="e" cm="1" vm="1">
        <f t="array" ref="M92">_xlfn.LET(_xlpm.x,SUMIFS(heatmap[[Value]:[Value]],heatmap[[Name]:[Name]],$F$86,heatmap[[Column]:[Column]],M$2,heatmap[[Row]:[Row]],$F92)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92" s="8" t="e" cm="1" vm="1">
        <f t="array" ref="N92">_xlfn.LET(_xlpm.x,SUMIFS(heatmap[[Value]:[Value]],heatmap[[Name]:[Name]],$F$86,heatmap[[Column]:[Column]],N$2,heatmap[[Row]:[Row]],$F92)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93" spans="5:14" x14ac:dyDescent="0.25">
      <c r="F93">
        <v>7</v>
      </c>
      <c r="G93" s="8" t="e" cm="1" vm="1">
        <f t="array" ref="G93">_xlfn.LET(_xlpm.x,SUMIFS(heatmap[[Value]:[Value]],heatmap[[Name]:[Name]],$F$86,heatmap[[Column]:[Column]],G$2,heatmap[[Row]:[Row]],$F93)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93" s="8" t="e" cm="1" vm="1">
        <f t="array" ref="H93">_xlfn.LET(_xlpm.x,SUMIFS(heatmap[[Value]:[Value]],heatmap[[Name]:[Name]],$F$86,heatmap[[Column]:[Column]],H$2,heatmap[[Row]:[Row]],$F93)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93" s="8" t="e" cm="1" vm="1">
        <f t="array" ref="I93">_xlfn.LET(_xlpm.x,SUMIFS(heatmap[[Value]:[Value]],heatmap[[Name]:[Name]],$F$86,heatmap[[Column]:[Column]],I$2,heatmap[[Row]:[Row]],$F93)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93" s="8" t="e" cm="1" vm="1">
        <f t="array" ref="J93">_xlfn.LET(_xlpm.x,SUMIFS(heatmap[[Value]:[Value]],heatmap[[Name]:[Name]],$F$86,heatmap[[Column]:[Column]],J$2,heatmap[[Row]:[Row]],$F93)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93" s="8" t="e" cm="1" vm="1">
        <f t="array" ref="K93">_xlfn.LET(_xlpm.x,SUMIFS(heatmap[[Value]:[Value]],heatmap[[Name]:[Name]],$F$86,heatmap[[Column]:[Column]],K$2,heatmap[[Row]:[Row]],$F93)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93" s="8" t="e" cm="1" vm="1">
        <f t="array" ref="L93">_xlfn.LET(_xlpm.x,SUMIFS(heatmap[[Value]:[Value]],heatmap[[Name]:[Name]],$F$86,heatmap[[Column]:[Column]],L$2,heatmap[[Row]:[Row]],$F93)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93" s="8" t="e" cm="1" vm="1">
        <f t="array" ref="M93">_xlfn.LET(_xlpm.x,SUMIFS(heatmap[[Value]:[Value]],heatmap[[Name]:[Name]],$F$86,heatmap[[Column]:[Column]],M$2,heatmap[[Row]:[Row]],$F93)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93" s="8" t="e" cm="1" vm="1">
        <f t="array" ref="N93">_xlfn.LET(_xlpm.x,SUMIFS(heatmap[[Value]:[Value]],heatmap[[Name]:[Name]],$F$86,heatmap[[Column]:[Column]],N$2,heatmap[[Row]:[Row]],$F93)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94" spans="5:14" x14ac:dyDescent="0.25">
      <c r="F94">
        <v>8</v>
      </c>
      <c r="G94" s="8" t="e" cm="1" vm="1">
        <f t="array" ref="G94">_xlfn.LET(_xlpm.x,SUMIFS(heatmap[[Value]:[Value]],heatmap[[Name]:[Name]],$F$86,heatmap[[Column]:[Column]],G$2,heatmap[[Row]:[Row]],$F94)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94" s="8" t="e" cm="1" vm="1">
        <f t="array" ref="H94">_xlfn.LET(_xlpm.x,SUMIFS(heatmap[[Value]:[Value]],heatmap[[Name]:[Name]],$F$86,heatmap[[Column]:[Column]],H$2,heatmap[[Row]:[Row]],$F94)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94" s="8" t="e" cm="1" vm="1">
        <f t="array" ref="I94">_xlfn.LET(_xlpm.x,SUMIFS(heatmap[[Value]:[Value]],heatmap[[Name]:[Name]],$F$86,heatmap[[Column]:[Column]],I$2,heatmap[[Row]:[Row]],$F94)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94" s="8" t="e" cm="1" vm="1">
        <f t="array" ref="J94">_xlfn.LET(_xlpm.x,SUMIFS(heatmap[[Value]:[Value]],heatmap[[Name]:[Name]],$F$86,heatmap[[Column]:[Column]],J$2,heatmap[[Row]:[Row]],$F94)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94" s="8" t="e" cm="1" vm="1">
        <f t="array" ref="K94">_xlfn.LET(_xlpm.x,SUMIFS(heatmap[[Value]:[Value]],heatmap[[Name]:[Name]],$F$86,heatmap[[Column]:[Column]],K$2,heatmap[[Row]:[Row]],$F94)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94" s="8" t="e" cm="1" vm="1">
        <f t="array" ref="L94">_xlfn.LET(_xlpm.x,SUMIFS(heatmap[[Value]:[Value]],heatmap[[Name]:[Name]],$F$86,heatmap[[Column]:[Column]],L$2,heatmap[[Row]:[Row]],$F94)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94" s="8" t="e" cm="1" vm="1">
        <f t="array" ref="M94">_xlfn.LET(_xlpm.x,SUMIFS(heatmap[[Value]:[Value]],heatmap[[Name]:[Name]],$F$86,heatmap[[Column]:[Column]],M$2,heatmap[[Row]:[Row]],$F94)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94" s="8" t="e" cm="1" vm="1">
        <f t="array" ref="N94">_xlfn.LET(_xlpm.x,SUMIFS(heatmap[[Value]:[Value]],heatmap[[Name]:[Name]],$F$86,heatmap[[Column]:[Column]],N$2,heatmap[[Row]:[Row]],$F94)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95" spans="5:14" x14ac:dyDescent="0.25">
      <c r="F95">
        <v>9</v>
      </c>
      <c r="G95" s="8" t="e" cm="1" vm="1">
        <f t="array" ref="G95">_xlfn.LET(_xlpm.x,SUMIFS(heatmap[[Value]:[Value]],heatmap[[Name]:[Name]],$F$86,heatmap[[Column]:[Column]],G$2,heatmap[[Row]:[Row]],$F95)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95" s="8" t="e" cm="1" vm="1">
        <f t="array" ref="H95">_xlfn.LET(_xlpm.x,SUMIFS(heatmap[[Value]:[Value]],heatmap[[Name]:[Name]],$F$86,heatmap[[Column]:[Column]],H$2,heatmap[[Row]:[Row]],$F95)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95" s="8" t="e" cm="1" vm="1">
        <f t="array" ref="I95">_xlfn.LET(_xlpm.x,SUMIFS(heatmap[[Value]:[Value]],heatmap[[Name]:[Name]],$F$86,heatmap[[Column]:[Column]],I$2,heatmap[[Row]:[Row]],$F95)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95" s="8" t="e" cm="1" vm="1">
        <f t="array" ref="J95">_xlfn.LET(_xlpm.x,SUMIFS(heatmap[[Value]:[Value]],heatmap[[Name]:[Name]],$F$86,heatmap[[Column]:[Column]],J$2,heatmap[[Row]:[Row]],$F95)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95" s="8" t="e" cm="1" vm="1">
        <f t="array" ref="K95">_xlfn.LET(_xlpm.x,SUMIFS(heatmap[[Value]:[Value]],heatmap[[Name]:[Name]],$F$86,heatmap[[Column]:[Column]],K$2,heatmap[[Row]:[Row]],$F95)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95" s="8" t="e" cm="1" vm="1">
        <f t="array" ref="L95">_xlfn.LET(_xlpm.x,SUMIFS(heatmap[[Value]:[Value]],heatmap[[Name]:[Name]],$F$86,heatmap[[Column]:[Column]],L$2,heatmap[[Row]:[Row]],$F95)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95" s="8" t="e" cm="1" vm="1">
        <f t="array" ref="M95">_xlfn.LET(_xlpm.x,SUMIFS(heatmap[[Value]:[Value]],heatmap[[Name]:[Name]],$F$86,heatmap[[Column]:[Column]],M$2,heatmap[[Row]:[Row]],$F95)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95" s="8" t="e" cm="1" vm="1">
        <f t="array" ref="N95">_xlfn.LET(_xlpm.x,SUMIFS(heatmap[[Value]:[Value]],heatmap[[Name]:[Name]],$F$86,heatmap[[Column]:[Column]],N$2,heatmap[[Row]:[Row]],$F95)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96" spans="5:14" x14ac:dyDescent="0.25">
      <c r="F96">
        <v>10</v>
      </c>
      <c r="G96" s="8" t="e" cm="1" vm="1">
        <f t="array" ref="G96">_xlfn.LET(_xlpm.x,SUMIFS(heatmap[[Value]:[Value]],heatmap[[Name]:[Name]],$F$86,heatmap[[Column]:[Column]],G$2,heatmap[[Row]:[Row]],$F96)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96" s="8" t="e" cm="1" vm="1">
        <f t="array" ref="H96">_xlfn.LET(_xlpm.x,SUMIFS(heatmap[[Value]:[Value]],heatmap[[Name]:[Name]],$F$86,heatmap[[Column]:[Column]],H$2,heatmap[[Row]:[Row]],$F96)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96" s="8" t="e" cm="1" vm="1">
        <f t="array" ref="I96">_xlfn.LET(_xlpm.x,SUMIFS(heatmap[[Value]:[Value]],heatmap[[Name]:[Name]],$F$86,heatmap[[Column]:[Column]],I$2,heatmap[[Row]:[Row]],$F96)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96" s="8" t="e" cm="1" vm="1">
        <f t="array" ref="J96">_xlfn.LET(_xlpm.x,SUMIFS(heatmap[[Value]:[Value]],heatmap[[Name]:[Name]],$F$86,heatmap[[Column]:[Column]],J$2,heatmap[[Row]:[Row]],$F96)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96" s="8" t="e" cm="1" vm="1">
        <f t="array" ref="K96">_xlfn.LET(_xlpm.x,SUMIFS(heatmap[[Value]:[Value]],heatmap[[Name]:[Name]],$F$86,heatmap[[Column]:[Column]],K$2,heatmap[[Row]:[Row]],$F96)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96" s="8" t="e" cm="1" vm="1">
        <f t="array" ref="L96">_xlfn.LET(_xlpm.x,SUMIFS(heatmap[[Value]:[Value]],heatmap[[Name]:[Name]],$F$86,heatmap[[Column]:[Column]],L$2,heatmap[[Row]:[Row]],$F96)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96" s="8" t="e" cm="1" vm="1">
        <f t="array" ref="M96">_xlfn.LET(_xlpm.x,SUMIFS(heatmap[[Value]:[Value]],heatmap[[Name]:[Name]],$F$86,heatmap[[Column]:[Column]],M$2,heatmap[[Row]:[Row]],$F96)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96" s="8" t="e" cm="1" vm="1">
        <f t="array" ref="N96">_xlfn.LET(_xlpm.x,SUMIFS(heatmap[[Value]:[Value]],heatmap[[Name]:[Name]],$F$86,heatmap[[Column]:[Column]],N$2,heatmap[[Row]:[Row]],$F96)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98" spans="6:14" x14ac:dyDescent="0.25">
      <c r="F98" t="s">
        <v>29</v>
      </c>
      <c r="G98" s="2">
        <v>1</v>
      </c>
      <c r="H98" s="2">
        <v>2</v>
      </c>
      <c r="I98" s="2">
        <v>3</v>
      </c>
      <c r="J98" s="2">
        <v>4</v>
      </c>
      <c r="K98" s="2">
        <v>5</v>
      </c>
      <c r="L98" s="2">
        <v>6</v>
      </c>
      <c r="M98" s="2">
        <v>7</v>
      </c>
      <c r="N98" s="2">
        <v>8</v>
      </c>
    </row>
    <row r="99" spans="6:14" x14ac:dyDescent="0.25">
      <c r="F99">
        <v>1</v>
      </c>
      <c r="G99" s="8" t="e" cm="1" vm="1">
        <f t="array" ref="G99">_xlfn.LET(_xlpm.x,SUMIFS(heatmap[[Value]:[Value]],heatmap[[Name]:[Name]],$F$98,heatmap[[Column]:[Column]],G$2,heatmap[[Row]:[Row]],$F99)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99" s="8" t="e" cm="1" vm="1">
        <f t="array" ref="H99">_xlfn.LET(_xlpm.x,SUMIFS(heatmap[[Value]:[Value]],heatmap[[Name]:[Name]],$F$98,heatmap[[Column]:[Column]],H$2,heatmap[[Row]:[Row]],$F99)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99" s="8" t="e" cm="1" vm="1">
        <f t="array" ref="I99">_xlfn.LET(_xlpm.x,SUMIFS(heatmap[[Value]:[Value]],heatmap[[Name]:[Name]],$F$98,heatmap[[Column]:[Column]],I$2,heatmap[[Row]:[Row]],$F99)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99" s="8" t="e" cm="1" vm="1">
        <f t="array" ref="J99">_xlfn.LET(_xlpm.x,SUMIFS(heatmap[[Value]:[Value]],heatmap[[Name]:[Name]],$F$98,heatmap[[Column]:[Column]],J$2,heatmap[[Row]:[Row]],$F99)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99" s="8" t="e" cm="1" vm="1">
        <f t="array" ref="K99">_xlfn.LET(_xlpm.x,SUMIFS(heatmap[[Value]:[Value]],heatmap[[Name]:[Name]],$F$98,heatmap[[Column]:[Column]],K$2,heatmap[[Row]:[Row]],$F99)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99" s="8" t="e" cm="1" vm="1">
        <f t="array" ref="L99">_xlfn.LET(_xlpm.x,SUMIFS(heatmap[[Value]:[Value]],heatmap[[Name]:[Name]],$F$98,heatmap[[Column]:[Column]],L$2,heatmap[[Row]:[Row]],$F99)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99" s="8" t="e" cm="1" vm="1">
        <f t="array" ref="M99">_xlfn.LET(_xlpm.x,SUMIFS(heatmap[[Value]:[Value]],heatmap[[Name]:[Name]],$F$98,heatmap[[Column]:[Column]],M$2,heatmap[[Row]:[Row]],$F99)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99" s="8" t="e" cm="1" vm="1">
        <f t="array" ref="N99">_xlfn.LET(_xlpm.x,SUMIFS(heatmap[[Value]:[Value]],heatmap[[Name]:[Name]],$F$98,heatmap[[Column]:[Column]],N$2,heatmap[[Row]:[Row]],$F99)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00" spans="6:14" x14ac:dyDescent="0.25">
      <c r="F100">
        <v>2</v>
      </c>
      <c r="G100" s="8" t="e" cm="1" vm="1">
        <f t="array" ref="G100">_xlfn.LET(_xlpm.x,SUMIFS(heatmap[[Value]:[Value]],heatmap[[Name]:[Name]],$F$98,heatmap[[Column]:[Column]],G$2,heatmap[[Row]:[Row]],$F100)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00" s="8" t="e" cm="1" vm="1">
        <f t="array" ref="H100">_xlfn.LET(_xlpm.x,SUMIFS(heatmap[[Value]:[Value]],heatmap[[Name]:[Name]],$F$98,heatmap[[Column]:[Column]],H$2,heatmap[[Row]:[Row]],$F100)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00" s="8" t="e" cm="1" vm="1">
        <f t="array" ref="I100">_xlfn.LET(_xlpm.x,SUMIFS(heatmap[[Value]:[Value]],heatmap[[Name]:[Name]],$F$98,heatmap[[Column]:[Column]],I$2,heatmap[[Row]:[Row]],$F100)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00" s="8" t="e" cm="1" vm="1">
        <f t="array" ref="J100">_xlfn.LET(_xlpm.x,SUMIFS(heatmap[[Value]:[Value]],heatmap[[Name]:[Name]],$F$98,heatmap[[Column]:[Column]],J$2,heatmap[[Row]:[Row]],$F100)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00" s="8" t="e" cm="1" vm="1">
        <f t="array" ref="K100">_xlfn.LET(_xlpm.x,SUMIFS(heatmap[[Value]:[Value]],heatmap[[Name]:[Name]],$F$98,heatmap[[Column]:[Column]],K$2,heatmap[[Row]:[Row]],$F100)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00" s="8" t="e" cm="1" vm="1">
        <f t="array" ref="L100">_xlfn.LET(_xlpm.x,SUMIFS(heatmap[[Value]:[Value]],heatmap[[Name]:[Name]],$F$98,heatmap[[Column]:[Column]],L$2,heatmap[[Row]:[Row]],$F100)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00" s="8" t="e" cm="1" vm="1">
        <f t="array" ref="M100">_xlfn.LET(_xlpm.x,SUMIFS(heatmap[[Value]:[Value]],heatmap[[Name]:[Name]],$F$98,heatmap[[Column]:[Column]],M$2,heatmap[[Row]:[Row]],$F100)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00" s="8" t="e" cm="1" vm="1">
        <f t="array" ref="N100">_xlfn.LET(_xlpm.x,SUMIFS(heatmap[[Value]:[Value]],heatmap[[Name]:[Name]],$F$98,heatmap[[Column]:[Column]],N$2,heatmap[[Row]:[Row]],$F100)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01" spans="6:14" x14ac:dyDescent="0.25">
      <c r="F101">
        <v>3</v>
      </c>
      <c r="G101" s="8" t="e" cm="1" vm="1">
        <f t="array" ref="G101">_xlfn.LET(_xlpm.x,SUMIFS(heatmap[[Value]:[Value]],heatmap[[Name]:[Name]],$F$98,heatmap[[Column]:[Column]],G$2,heatmap[[Row]:[Row]],$F101)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01" s="8" t="e" cm="1" vm="1">
        <f t="array" ref="H101">_xlfn.LET(_xlpm.x,SUMIFS(heatmap[[Value]:[Value]],heatmap[[Name]:[Name]],$F$98,heatmap[[Column]:[Column]],H$2,heatmap[[Row]:[Row]],$F101)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01" s="8" t="e" cm="1" vm="1">
        <f t="array" ref="I101">_xlfn.LET(_xlpm.x,SUMIFS(heatmap[[Value]:[Value]],heatmap[[Name]:[Name]],$F$98,heatmap[[Column]:[Column]],I$2,heatmap[[Row]:[Row]],$F101)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01" s="8" t="e" cm="1" vm="1">
        <f t="array" ref="J101">_xlfn.LET(_xlpm.x,SUMIFS(heatmap[[Value]:[Value]],heatmap[[Name]:[Name]],$F$98,heatmap[[Column]:[Column]],J$2,heatmap[[Row]:[Row]],$F101)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01" s="8" t="e" cm="1" vm="1">
        <f t="array" ref="K101">_xlfn.LET(_xlpm.x,SUMIFS(heatmap[[Value]:[Value]],heatmap[[Name]:[Name]],$F$98,heatmap[[Column]:[Column]],K$2,heatmap[[Row]:[Row]],$F101)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01" s="8" t="e" cm="1" vm="1">
        <f t="array" ref="L101">_xlfn.LET(_xlpm.x,SUMIFS(heatmap[[Value]:[Value]],heatmap[[Name]:[Name]],$F$98,heatmap[[Column]:[Column]],L$2,heatmap[[Row]:[Row]],$F101)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01" s="8" t="e" cm="1" vm="1">
        <f t="array" ref="M101">_xlfn.LET(_xlpm.x,SUMIFS(heatmap[[Value]:[Value]],heatmap[[Name]:[Name]],$F$98,heatmap[[Column]:[Column]],M$2,heatmap[[Row]:[Row]],$F101)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01" s="8" t="e" cm="1" vm="1">
        <f t="array" ref="N101">_xlfn.LET(_xlpm.x,SUMIFS(heatmap[[Value]:[Value]],heatmap[[Name]:[Name]],$F$98,heatmap[[Column]:[Column]],N$2,heatmap[[Row]:[Row]],$F101)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02" spans="6:14" x14ac:dyDescent="0.25">
      <c r="F102">
        <v>4</v>
      </c>
      <c r="G102" s="8" t="e" cm="1" vm="1">
        <f t="array" ref="G102">_xlfn.LET(_xlpm.x,SUMIFS(heatmap[[Value]:[Value]],heatmap[[Name]:[Name]],$F$98,heatmap[[Column]:[Column]],G$2,heatmap[[Row]:[Row]],$F102)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02" s="8" t="e" cm="1" vm="1">
        <f t="array" ref="H102">_xlfn.LET(_xlpm.x,SUMIFS(heatmap[[Value]:[Value]],heatmap[[Name]:[Name]],$F$98,heatmap[[Column]:[Column]],H$2,heatmap[[Row]:[Row]],$F102)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02" s="8" t="e" cm="1" vm="1">
        <f t="array" ref="I102">_xlfn.LET(_xlpm.x,SUMIFS(heatmap[[Value]:[Value]],heatmap[[Name]:[Name]],$F$98,heatmap[[Column]:[Column]],I$2,heatmap[[Row]:[Row]],$F102)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02" s="8" t="e" cm="1" vm="1">
        <f t="array" ref="J102">_xlfn.LET(_xlpm.x,SUMIFS(heatmap[[Value]:[Value]],heatmap[[Name]:[Name]],$F$98,heatmap[[Column]:[Column]],J$2,heatmap[[Row]:[Row]],$F102)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02" s="8" t="e" cm="1" vm="1">
        <f t="array" ref="K102">_xlfn.LET(_xlpm.x,SUMIFS(heatmap[[Value]:[Value]],heatmap[[Name]:[Name]],$F$98,heatmap[[Column]:[Column]],K$2,heatmap[[Row]:[Row]],$F102)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02" s="8" t="e" cm="1" vm="1">
        <f t="array" ref="L102">_xlfn.LET(_xlpm.x,SUMIFS(heatmap[[Value]:[Value]],heatmap[[Name]:[Name]],$F$98,heatmap[[Column]:[Column]],L$2,heatmap[[Row]:[Row]],$F102)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02" s="8" t="e" cm="1" vm="1">
        <f t="array" ref="M102">_xlfn.LET(_xlpm.x,SUMIFS(heatmap[[Value]:[Value]],heatmap[[Name]:[Name]],$F$98,heatmap[[Column]:[Column]],M$2,heatmap[[Row]:[Row]],$F102)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02" s="8" t="e" cm="1" vm="1">
        <f t="array" ref="N102">_xlfn.LET(_xlpm.x,SUMIFS(heatmap[[Value]:[Value]],heatmap[[Name]:[Name]],$F$98,heatmap[[Column]:[Column]],N$2,heatmap[[Row]:[Row]],$F102)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03" spans="6:14" x14ac:dyDescent="0.25">
      <c r="F103">
        <v>5</v>
      </c>
      <c r="G103" s="8" t="e" cm="1" vm="1">
        <f t="array" ref="G103">_xlfn.LET(_xlpm.x,SUMIFS(heatmap[[Value]:[Value]],heatmap[[Name]:[Name]],$F$98,heatmap[[Column]:[Column]],G$2,heatmap[[Row]:[Row]],$F103)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03" s="8" t="e" cm="1" vm="1">
        <f t="array" ref="H103">_xlfn.LET(_xlpm.x,SUMIFS(heatmap[[Value]:[Value]],heatmap[[Name]:[Name]],$F$98,heatmap[[Column]:[Column]],H$2,heatmap[[Row]:[Row]],$F103)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03" s="8" t="e" cm="1" vm="1">
        <f t="array" ref="I103">_xlfn.LET(_xlpm.x,SUMIFS(heatmap[[Value]:[Value]],heatmap[[Name]:[Name]],$F$98,heatmap[[Column]:[Column]],I$2,heatmap[[Row]:[Row]],$F103)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03" s="8" t="e" cm="1" vm="1">
        <f t="array" ref="J103">_xlfn.LET(_xlpm.x,SUMIFS(heatmap[[Value]:[Value]],heatmap[[Name]:[Name]],$F$98,heatmap[[Column]:[Column]],J$2,heatmap[[Row]:[Row]],$F103)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03" s="8" t="e" cm="1" vm="1">
        <f t="array" ref="K103">_xlfn.LET(_xlpm.x,SUMIFS(heatmap[[Value]:[Value]],heatmap[[Name]:[Name]],$F$98,heatmap[[Column]:[Column]],K$2,heatmap[[Row]:[Row]],$F103)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03" s="8" t="e" cm="1" vm="1">
        <f t="array" ref="L103">_xlfn.LET(_xlpm.x,SUMIFS(heatmap[[Value]:[Value]],heatmap[[Name]:[Name]],$F$98,heatmap[[Column]:[Column]],L$2,heatmap[[Row]:[Row]],$F103)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03" s="8" t="e" cm="1" vm="1">
        <f t="array" ref="M103">_xlfn.LET(_xlpm.x,SUMIFS(heatmap[[Value]:[Value]],heatmap[[Name]:[Name]],$F$98,heatmap[[Column]:[Column]],M$2,heatmap[[Row]:[Row]],$F103)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03" s="8" t="e" cm="1" vm="1">
        <f t="array" ref="N103">_xlfn.LET(_xlpm.x,SUMIFS(heatmap[[Value]:[Value]],heatmap[[Name]:[Name]],$F$98,heatmap[[Column]:[Column]],N$2,heatmap[[Row]:[Row]],$F103)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04" spans="6:14" x14ac:dyDescent="0.25">
      <c r="F104">
        <v>6</v>
      </c>
      <c r="G104" s="8" t="e" cm="1" vm="1">
        <f t="array" ref="G104">_xlfn.LET(_xlpm.x,SUMIFS(heatmap[[Value]:[Value]],heatmap[[Name]:[Name]],$F$98,heatmap[[Column]:[Column]],G$2,heatmap[[Row]:[Row]],$F104)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04" s="8" t="e" cm="1" vm="1">
        <f t="array" ref="H104">_xlfn.LET(_xlpm.x,SUMIFS(heatmap[[Value]:[Value]],heatmap[[Name]:[Name]],$F$98,heatmap[[Column]:[Column]],H$2,heatmap[[Row]:[Row]],$F104)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04" s="8" t="e" cm="1" vm="1">
        <f t="array" ref="I104">_xlfn.LET(_xlpm.x,SUMIFS(heatmap[[Value]:[Value]],heatmap[[Name]:[Name]],$F$98,heatmap[[Column]:[Column]],I$2,heatmap[[Row]:[Row]],$F104)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04" s="8" t="e" cm="1" vm="1">
        <f t="array" ref="J104">_xlfn.LET(_xlpm.x,SUMIFS(heatmap[[Value]:[Value]],heatmap[[Name]:[Name]],$F$98,heatmap[[Column]:[Column]],J$2,heatmap[[Row]:[Row]],$F104)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04" s="8" t="e" cm="1" vm="1">
        <f t="array" ref="K104">_xlfn.LET(_xlpm.x,SUMIFS(heatmap[[Value]:[Value]],heatmap[[Name]:[Name]],$F$98,heatmap[[Column]:[Column]],K$2,heatmap[[Row]:[Row]],$F104)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04" s="8" t="e" cm="1" vm="1">
        <f t="array" ref="L104">_xlfn.LET(_xlpm.x,SUMIFS(heatmap[[Value]:[Value]],heatmap[[Name]:[Name]],$F$98,heatmap[[Column]:[Column]],L$2,heatmap[[Row]:[Row]],$F104)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04" s="8" t="e" cm="1" vm="1">
        <f t="array" ref="M104">_xlfn.LET(_xlpm.x,SUMIFS(heatmap[[Value]:[Value]],heatmap[[Name]:[Name]],$F$98,heatmap[[Column]:[Column]],M$2,heatmap[[Row]:[Row]],$F104)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04" s="8" t="e" cm="1" vm="1">
        <f t="array" ref="N104">_xlfn.LET(_xlpm.x,SUMIFS(heatmap[[Value]:[Value]],heatmap[[Name]:[Name]],$F$98,heatmap[[Column]:[Column]],N$2,heatmap[[Row]:[Row]],$F104)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05" spans="6:14" x14ac:dyDescent="0.25">
      <c r="F105">
        <v>7</v>
      </c>
      <c r="G105" s="8" t="e" cm="1" vm="1">
        <f t="array" ref="G105">_xlfn.LET(_xlpm.x,SUMIFS(heatmap[[Value]:[Value]],heatmap[[Name]:[Name]],$F$98,heatmap[[Column]:[Column]],G$2,heatmap[[Row]:[Row]],$F105)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05" s="8" t="e" cm="1" vm="1">
        <f t="array" ref="H105">_xlfn.LET(_xlpm.x,SUMIFS(heatmap[[Value]:[Value]],heatmap[[Name]:[Name]],$F$98,heatmap[[Column]:[Column]],H$2,heatmap[[Row]:[Row]],$F105)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05" s="8" t="e" cm="1" vm="1">
        <f t="array" ref="I105">_xlfn.LET(_xlpm.x,SUMIFS(heatmap[[Value]:[Value]],heatmap[[Name]:[Name]],$F$98,heatmap[[Column]:[Column]],I$2,heatmap[[Row]:[Row]],$F105)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05" s="8" t="e" cm="1" vm="1">
        <f t="array" ref="J105">_xlfn.LET(_xlpm.x,SUMIFS(heatmap[[Value]:[Value]],heatmap[[Name]:[Name]],$F$98,heatmap[[Column]:[Column]],J$2,heatmap[[Row]:[Row]],$F105)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05" s="8" t="e" cm="1" vm="1">
        <f t="array" ref="K105">_xlfn.LET(_xlpm.x,SUMIFS(heatmap[[Value]:[Value]],heatmap[[Name]:[Name]],$F$98,heatmap[[Column]:[Column]],K$2,heatmap[[Row]:[Row]],$F105)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05" s="8" t="e" cm="1" vm="1">
        <f t="array" ref="L105">_xlfn.LET(_xlpm.x,SUMIFS(heatmap[[Value]:[Value]],heatmap[[Name]:[Name]],$F$98,heatmap[[Column]:[Column]],L$2,heatmap[[Row]:[Row]],$F105)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05" s="8" t="e" cm="1" vm="1">
        <f t="array" ref="M105">_xlfn.LET(_xlpm.x,SUMIFS(heatmap[[Value]:[Value]],heatmap[[Name]:[Name]],$F$98,heatmap[[Column]:[Column]],M$2,heatmap[[Row]:[Row]],$F105)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05" s="8" t="e" cm="1" vm="1">
        <f t="array" ref="N105">_xlfn.LET(_xlpm.x,SUMIFS(heatmap[[Value]:[Value]],heatmap[[Name]:[Name]],$F$98,heatmap[[Column]:[Column]],N$2,heatmap[[Row]:[Row]],$F105)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06" spans="6:14" x14ac:dyDescent="0.25">
      <c r="F106">
        <v>8</v>
      </c>
      <c r="G106" s="8" t="e" cm="1" vm="1">
        <f t="array" ref="G106">_xlfn.LET(_xlpm.x,SUMIFS(heatmap[[Value]:[Value]],heatmap[[Name]:[Name]],$F$98,heatmap[[Column]:[Column]],G$2,heatmap[[Row]:[Row]],$F106)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06" s="8" t="e" cm="1" vm="1">
        <f t="array" ref="H106">_xlfn.LET(_xlpm.x,SUMIFS(heatmap[[Value]:[Value]],heatmap[[Name]:[Name]],$F$98,heatmap[[Column]:[Column]],H$2,heatmap[[Row]:[Row]],$F106)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06" s="8" t="e" cm="1" vm="1">
        <f t="array" ref="I106">_xlfn.LET(_xlpm.x,SUMIFS(heatmap[[Value]:[Value]],heatmap[[Name]:[Name]],$F$98,heatmap[[Column]:[Column]],I$2,heatmap[[Row]:[Row]],$F106)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06" s="8" t="e" cm="1" vm="1">
        <f t="array" ref="J106">_xlfn.LET(_xlpm.x,SUMIFS(heatmap[[Value]:[Value]],heatmap[[Name]:[Name]],$F$98,heatmap[[Column]:[Column]],J$2,heatmap[[Row]:[Row]],$F106)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06" s="8" t="e" cm="1" vm="1">
        <f t="array" ref="K106">_xlfn.LET(_xlpm.x,SUMIFS(heatmap[[Value]:[Value]],heatmap[[Name]:[Name]],$F$98,heatmap[[Column]:[Column]],K$2,heatmap[[Row]:[Row]],$F106)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06" s="8" t="e" cm="1" vm="1">
        <f t="array" ref="L106">_xlfn.LET(_xlpm.x,SUMIFS(heatmap[[Value]:[Value]],heatmap[[Name]:[Name]],$F$98,heatmap[[Column]:[Column]],L$2,heatmap[[Row]:[Row]],$F106)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06" s="8" t="e" cm="1" vm="1">
        <f t="array" ref="M106">_xlfn.LET(_xlpm.x,SUMIFS(heatmap[[Value]:[Value]],heatmap[[Name]:[Name]],$F$98,heatmap[[Column]:[Column]],M$2,heatmap[[Row]:[Row]],$F106)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06" s="8" t="e" cm="1" vm="1">
        <f t="array" ref="N106">_xlfn.LET(_xlpm.x,SUMIFS(heatmap[[Value]:[Value]],heatmap[[Name]:[Name]],$F$98,heatmap[[Column]:[Column]],N$2,heatmap[[Row]:[Row]],$F106)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07" spans="6:14" x14ac:dyDescent="0.25">
      <c r="F107">
        <v>9</v>
      </c>
      <c r="G107" s="8" t="e" cm="1" vm="1">
        <f t="array" ref="G107">_xlfn.LET(_xlpm.x,SUMIFS(heatmap[[Value]:[Value]],heatmap[[Name]:[Name]],$F$98,heatmap[[Column]:[Column]],G$2,heatmap[[Row]:[Row]],$F107)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07" s="8" t="e" cm="1" vm="1">
        <f t="array" ref="H107">_xlfn.LET(_xlpm.x,SUMIFS(heatmap[[Value]:[Value]],heatmap[[Name]:[Name]],$F$98,heatmap[[Column]:[Column]],H$2,heatmap[[Row]:[Row]],$F107)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07" s="8" t="e" cm="1" vm="1">
        <f t="array" ref="I107">_xlfn.LET(_xlpm.x,SUMIFS(heatmap[[Value]:[Value]],heatmap[[Name]:[Name]],$F$98,heatmap[[Column]:[Column]],I$2,heatmap[[Row]:[Row]],$F107)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07" s="8" t="e" cm="1" vm="1">
        <f t="array" ref="J107">_xlfn.LET(_xlpm.x,SUMIFS(heatmap[[Value]:[Value]],heatmap[[Name]:[Name]],$F$98,heatmap[[Column]:[Column]],J$2,heatmap[[Row]:[Row]],$F107)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07" s="8" t="e" cm="1" vm="1">
        <f t="array" ref="K107">_xlfn.LET(_xlpm.x,SUMIFS(heatmap[[Value]:[Value]],heatmap[[Name]:[Name]],$F$98,heatmap[[Column]:[Column]],K$2,heatmap[[Row]:[Row]],$F107)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07" s="8" t="e" cm="1" vm="1">
        <f t="array" ref="L107">_xlfn.LET(_xlpm.x,SUMIFS(heatmap[[Value]:[Value]],heatmap[[Name]:[Name]],$F$98,heatmap[[Column]:[Column]],L$2,heatmap[[Row]:[Row]],$F107)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07" s="8" t="e" cm="1" vm="1">
        <f t="array" ref="M107">_xlfn.LET(_xlpm.x,SUMIFS(heatmap[[Value]:[Value]],heatmap[[Name]:[Name]],$F$98,heatmap[[Column]:[Column]],M$2,heatmap[[Row]:[Row]],$F107)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07" s="8" t="e" cm="1" vm="1">
        <f t="array" ref="N107">_xlfn.LET(_xlpm.x,SUMIFS(heatmap[[Value]:[Value]],heatmap[[Name]:[Name]],$F$98,heatmap[[Column]:[Column]],N$2,heatmap[[Row]:[Row]],$F107)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  <row r="108" spans="6:14" x14ac:dyDescent="0.25">
      <c r="F108">
        <v>10</v>
      </c>
      <c r="G108" s="8" t="e" cm="1" vm="1">
        <f t="array" ref="G108">_xlfn.LET(_xlpm.x,SUMIFS(heatmap[[Value]:[Value]],heatmap[[Name]:[Name]],$F$98,heatmap[[Column]:[Column]],G$2,heatmap[[Row]:[Row]],$F108)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H108" s="8" t="e" cm="1" vm="1">
        <f t="array" ref="H108">_xlfn.LET(_xlpm.x,SUMIFS(heatmap[[Value]:[Value]],heatmap[[Name]:[Name]],$F$98,heatmap[[Column]:[Column]],H$2,heatmap[[Row]:[Row]],$F108)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I108" s="8" t="e" cm="1" vm="1">
        <f t="array" ref="I108">_xlfn.LET(_xlpm.x,SUMIFS(heatmap[[Value]:[Value]],heatmap[[Name]:[Name]],$F$98,heatmap[[Column]:[Column]],I$2,heatmap[[Row]:[Row]],$F108)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J108" s="8" t="e" cm="1" vm="1">
        <f t="array" ref="J108">_xlfn.LET(_xlpm.x,SUMIFS(heatmap[[Value]:[Value]],heatmap[[Name]:[Name]],$F$98,heatmap[[Column]:[Column]],J$2,heatmap[[Row]:[Row]],$F108)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K108" s="8" t="e" cm="1" vm="1">
        <f t="array" ref="K108">_xlfn.LET(_xlpm.x,SUMIFS(heatmap[[Value]:[Value]],heatmap[[Name]:[Name]],$F$98,heatmap[[Column]:[Column]],K$2,heatmap[[Row]:[Row]],$F108)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L108" s="8" t="e" cm="1" vm="1">
        <f t="array" ref="L108">_xlfn.LET(_xlpm.x,SUMIFS(heatmap[[Value]:[Value]],heatmap[[Name]:[Name]],$F$98,heatmap[[Column]:[Column]],L$2,heatmap[[Row]:[Row]],$F108)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M108" s="8" t="e" cm="1" vm="1">
        <f t="array" ref="M108">_xlfn.LET(_xlpm.x,SUMIFS(heatmap[[Value]:[Value]],heatmap[[Name]:[Name]],$F$98,heatmap[[Column]:[Column]],M$2,heatmap[[Row]:[Row]],$F108),_xlfn.IFS(_xlpm.x=$S$1,$T$1,_xlpm.x&lt;=$S$2,$T$2,_xlpm.x&lt;=$S$3,$T$3,_xlpm.x&lt;=$S$4,$T$4,_xlpm.x&lt;=$S$5,$T$5,_xlpm.x&lt;=$S$6,$T$6,_xlpm.x&lt;=$S$7,$T$7,_xlpm.x&lt;=$S$8,$T$8,_xlpm.x&lt;=$S$9,$T$9,_xlpm.x&gt;=$S$10,$T$10))</f>
        <v>#VALUE!</v>
      </c>
      <c r="N108" s="8" t="e" cm="1" vm="1">
        <f t="array" ref="N108">_xlfn.LET(_xlpm.x,SUMIFS(heatmap[[Value]:[Value]],heatmap[[Name]:[Name]],$F$98,heatmap[[Column]:[Column]],N$2,heatmap[[Row]:[Row]],$F108),_xlfn.IFS(_xlpm.x=$S$1,$T$1,_xlpm.x&lt;=$S$2,$T$2,_xlpm.x&lt;=$S$3,$T$3,_xlpm.x&lt;=$S$4,$T$4,_xlpm.x&lt;=$S$5,$T$5,_xlpm.x&lt;=$S$6,$T$6,_xlpm.x&lt;=$S$7,$T$7,_xlpm.x&lt;=$S$8,$T$8,_xlpm.x&lt;=$S$9,$T$9,_xlpm.x&gt;=$S$10,$T$10))</f>
        <v>#VALUE!</v>
      </c>
    </row>
  </sheetData>
  <phoneticPr fontId="5" type="noConversion"/>
  <conditionalFormatting sqref="G3:N12">
    <cfRule type="colorScale" priority="31">
      <colorScale>
        <cfvo type="min"/>
        <cfvo type="percentile" val="50"/>
        <cfvo type="max"/>
        <color theme="4" tint="-0.499984740745262"/>
        <color theme="4" tint="0.39997558519241921"/>
        <color theme="4" tint="0.79998168889431442"/>
      </colorScale>
    </cfRule>
    <cfRule type="colorScale" priority="32">
      <colorScale>
        <cfvo type="min"/>
        <cfvo type="max"/>
        <color theme="0"/>
        <color theme="9" tint="0.39997558519241921"/>
      </colorScale>
    </cfRule>
  </conditionalFormatting>
  <conditionalFormatting sqref="G15:N24">
    <cfRule type="colorScale" priority="15">
      <colorScale>
        <cfvo type="min"/>
        <cfvo type="percentile" val="50"/>
        <cfvo type="max"/>
        <color theme="4" tint="-0.499984740745262"/>
        <color theme="4" tint="0.39997558519241921"/>
        <color theme="4" tint="0.79998168889431442"/>
      </colorScale>
    </cfRule>
    <cfRule type="colorScale" priority="16">
      <colorScale>
        <cfvo type="min"/>
        <cfvo type="max"/>
        <color theme="0"/>
        <color theme="9" tint="0.39997558519241921"/>
      </colorScale>
    </cfRule>
  </conditionalFormatting>
  <conditionalFormatting sqref="G27:N36">
    <cfRule type="colorScale" priority="13">
      <colorScale>
        <cfvo type="min"/>
        <cfvo type="percentile" val="50"/>
        <cfvo type="max"/>
        <color theme="4" tint="-0.499984740745262"/>
        <color theme="4" tint="0.39997558519241921"/>
        <color theme="4" tint="0.79998168889431442"/>
      </colorScale>
    </cfRule>
    <cfRule type="colorScale" priority="14">
      <colorScale>
        <cfvo type="min"/>
        <cfvo type="max"/>
        <color theme="0"/>
        <color theme="9" tint="0.39997558519241921"/>
      </colorScale>
    </cfRule>
  </conditionalFormatting>
  <conditionalFormatting sqref="G39:N48">
    <cfRule type="colorScale" priority="11">
      <colorScale>
        <cfvo type="min"/>
        <cfvo type="percentile" val="50"/>
        <cfvo type="max"/>
        <color theme="4" tint="-0.499984740745262"/>
        <color theme="4" tint="0.39997558519241921"/>
        <color theme="4" tint="0.79998168889431442"/>
      </colorScale>
    </cfRule>
    <cfRule type="colorScale" priority="12">
      <colorScale>
        <cfvo type="min"/>
        <cfvo type="max"/>
        <color theme="0"/>
        <color theme="9" tint="0.39997558519241921"/>
      </colorScale>
    </cfRule>
  </conditionalFormatting>
  <conditionalFormatting sqref="G51:N60">
    <cfRule type="colorScale" priority="9">
      <colorScale>
        <cfvo type="min"/>
        <cfvo type="percentile" val="50"/>
        <cfvo type="max"/>
        <color theme="4" tint="-0.499984740745262"/>
        <color theme="4" tint="0.39997558519241921"/>
        <color theme="4" tint="0.79998168889431442"/>
      </colorScale>
    </cfRule>
    <cfRule type="colorScale" priority="10">
      <colorScale>
        <cfvo type="min"/>
        <cfvo type="max"/>
        <color theme="0"/>
        <color theme="9" tint="0.39997558519241921"/>
      </colorScale>
    </cfRule>
  </conditionalFormatting>
  <conditionalFormatting sqref="G63:N72">
    <cfRule type="colorScale" priority="7">
      <colorScale>
        <cfvo type="min"/>
        <cfvo type="percentile" val="50"/>
        <cfvo type="max"/>
        <color theme="4" tint="-0.499984740745262"/>
        <color theme="4" tint="0.39997558519241921"/>
        <color theme="4" tint="0.79998168889431442"/>
      </colorScale>
    </cfRule>
    <cfRule type="colorScale" priority="8">
      <colorScale>
        <cfvo type="min"/>
        <cfvo type="max"/>
        <color theme="0"/>
        <color theme="9" tint="0.39997558519241921"/>
      </colorScale>
    </cfRule>
  </conditionalFormatting>
  <conditionalFormatting sqref="G75:N84">
    <cfRule type="colorScale" priority="5">
      <colorScale>
        <cfvo type="min"/>
        <cfvo type="percentile" val="50"/>
        <cfvo type="max"/>
        <color theme="4" tint="-0.499984740745262"/>
        <color theme="4" tint="0.39997558519241921"/>
        <color theme="4" tint="0.79998168889431442"/>
      </colorScale>
    </cfRule>
    <cfRule type="colorScale" priority="6">
      <colorScale>
        <cfvo type="min"/>
        <cfvo type="max"/>
        <color theme="0"/>
        <color theme="9" tint="0.39997558519241921"/>
      </colorScale>
    </cfRule>
  </conditionalFormatting>
  <conditionalFormatting sqref="G87:N96">
    <cfRule type="colorScale" priority="3">
      <colorScale>
        <cfvo type="min"/>
        <cfvo type="percentile" val="50"/>
        <cfvo type="max"/>
        <color theme="4" tint="-0.499984740745262"/>
        <color theme="4" tint="0.39997558519241921"/>
        <color theme="4" tint="0.79998168889431442"/>
      </colorScale>
    </cfRule>
    <cfRule type="colorScale" priority="4">
      <colorScale>
        <cfvo type="min"/>
        <cfvo type="max"/>
        <color theme="0"/>
        <color theme="9" tint="0.39997558519241921"/>
      </colorScale>
    </cfRule>
  </conditionalFormatting>
  <conditionalFormatting sqref="G99:N108">
    <cfRule type="colorScale" priority="1">
      <colorScale>
        <cfvo type="min"/>
        <cfvo type="percentile" val="50"/>
        <cfvo type="max"/>
        <color theme="4" tint="-0.499984740745262"/>
        <color theme="4" tint="0.39997558519241921"/>
        <color theme="4" tint="0.79998168889431442"/>
      </colorScale>
    </cfRule>
    <cfRule type="colorScale" priority="2">
      <colorScale>
        <cfvo type="min"/>
        <cfvo type="max"/>
        <color theme="0"/>
        <color theme="9" tint="0.39997558519241921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03BEE-22F8-4438-A698-77108A21A6C5}">
  <sheetPr codeName="Sheet3"/>
  <dimension ref="A1:AS26"/>
  <sheetViews>
    <sheetView zoomScaleNormal="100" workbookViewId="0">
      <selection activeCell="F17" sqref="F17"/>
    </sheetView>
  </sheetViews>
  <sheetFormatPr defaultRowHeight="15" x14ac:dyDescent="0.25"/>
  <cols>
    <col min="1" max="1" width="13.7109375" bestFit="1" customWidth="1"/>
    <col min="2" max="2" width="8.7109375" bestFit="1" customWidth="1"/>
    <col min="3" max="3" width="11.7109375" bestFit="1" customWidth="1"/>
    <col min="5" max="5" width="14.42578125" bestFit="1" customWidth="1"/>
    <col min="6" max="6" width="10.5703125" bestFit="1" customWidth="1"/>
    <col min="8" max="8" width="11.5703125" customWidth="1"/>
    <col min="20" max="20" width="8.28515625" bestFit="1" customWidth="1"/>
    <col min="21" max="21" width="8.85546875" bestFit="1" customWidth="1"/>
    <col min="23" max="23" width="8.28515625" bestFit="1" customWidth="1"/>
    <col min="24" max="24" width="8.85546875" bestFit="1" customWidth="1"/>
    <col min="26" max="26" width="8.28515625" bestFit="1" customWidth="1"/>
    <col min="27" max="27" width="8.85546875" bestFit="1" customWidth="1"/>
    <col min="29" max="29" width="8.28515625" bestFit="1" customWidth="1"/>
    <col min="30" max="30" width="8.85546875" bestFit="1" customWidth="1"/>
    <col min="32" max="32" width="8.28515625" bestFit="1" customWidth="1"/>
    <col min="33" max="33" width="8.85546875" bestFit="1" customWidth="1"/>
    <col min="35" max="35" width="8.28515625" bestFit="1" customWidth="1"/>
    <col min="36" max="36" width="8.85546875" bestFit="1" customWidth="1"/>
    <col min="38" max="38" width="8.28515625" bestFit="1" customWidth="1"/>
    <col min="39" max="39" width="8.85546875" bestFit="1" customWidth="1"/>
    <col min="41" max="41" width="8.28515625" bestFit="1" customWidth="1"/>
    <col min="42" max="42" width="8.85546875" bestFit="1" customWidth="1"/>
    <col min="44" max="44" width="8.28515625" bestFit="1" customWidth="1"/>
    <col min="45" max="45" width="8.85546875" bestFit="1" customWidth="1"/>
  </cols>
  <sheetData>
    <row r="1" spans="1:45" x14ac:dyDescent="0.25">
      <c r="A1"/>
      <c r="B1"/>
      <c r="C1"/>
      <c r="F1" t="s">
        <v>12</v>
      </c>
      <c r="G1" t="s">
        <v>11</v>
      </c>
      <c r="J1" s="6">
        <v>0.25</v>
      </c>
      <c r="K1" t="e" vm="13">
        <v>#VALUE!</v>
      </c>
      <c r="T1" s="22" t="s">
        <v>3</v>
      </c>
      <c r="U1" s="22"/>
      <c r="W1" s="22" t="s">
        <v>4</v>
      </c>
      <c r="X1" s="22"/>
      <c r="Z1" s="22" t="s">
        <v>9</v>
      </c>
      <c r="AA1" s="22"/>
      <c r="AC1" s="22" t="s">
        <v>6</v>
      </c>
      <c r="AD1" s="22"/>
      <c r="AF1" s="22" t="s">
        <v>7</v>
      </c>
      <c r="AG1" s="22"/>
      <c r="AI1" s="22" t="s">
        <v>8</v>
      </c>
      <c r="AJ1" s="22"/>
      <c r="AL1" s="22" t="s">
        <v>5</v>
      </c>
      <c r="AM1" s="22"/>
      <c r="AO1" s="22" t="s">
        <v>10</v>
      </c>
      <c r="AP1" s="22"/>
      <c r="AR1" s="22" t="s">
        <v>13</v>
      </c>
      <c r="AS1" s="22"/>
    </row>
    <row r="2" spans="1:45" x14ac:dyDescent="0.25">
      <c r="A2"/>
      <c r="B2"/>
      <c r="C2"/>
      <c r="E2" t="s">
        <v>6</v>
      </c>
      <c r="F2" s="6">
        <f t="shared" ref="F2:F10" si="0">1-G2</f>
        <v>1</v>
      </c>
      <c r="G2" s="6">
        <f>IFERROR(_xlfn.LET(_xlpm.no_err,_xlfn.XLOOKUP(E2,Total_Records[Attribute],Total_Records[No Errors]),_xlpm.err,_xlfn.XLOOKUP(E2,Total_Records[Attribute],Total_Records[Errors]),_xlpm.no_err/SUM(_xlpm.err,_xlpm.no_err)),0)</f>
        <v>0</v>
      </c>
      <c r="H2" t="e" cm="1" vm="2">
        <f t="array" ref="H2">_xlfn.IFS(F2=$J$6,$K$6,F2=$J$5,$K$5,F2&lt;=$J$1,$K$1,F2&lt;=$J$2,$K$2,F2&lt;=$J$3,$K$3,F2&lt;=$J$4,$K$4)</f>
        <v>#VALUE!</v>
      </c>
      <c r="J2" s="6">
        <v>0.5</v>
      </c>
      <c r="K2" t="e" vm="14">
        <v>#VALUE!</v>
      </c>
      <c r="T2"/>
      <c r="U2"/>
      <c r="W2"/>
      <c r="X2"/>
      <c r="Z2"/>
      <c r="AA2"/>
      <c r="AC2"/>
      <c r="AD2"/>
      <c r="AF2"/>
      <c r="AG2"/>
      <c r="AI2"/>
      <c r="AJ2"/>
      <c r="AL2"/>
      <c r="AM2"/>
      <c r="AO2"/>
      <c r="AP2"/>
      <c r="AR2"/>
      <c r="AS2"/>
    </row>
    <row r="3" spans="1:45" x14ac:dyDescent="0.25">
      <c r="A3"/>
      <c r="B3"/>
      <c r="C3"/>
      <c r="E3" t="s">
        <v>8</v>
      </c>
      <c r="F3" s="6">
        <f t="shared" si="0"/>
        <v>1</v>
      </c>
      <c r="G3" s="6">
        <f>IFERROR(_xlfn.LET(_xlpm.no_err,_xlfn.XLOOKUP(E3,Total_Records[Attribute],Total_Records[No Errors]),_xlpm.err,_xlfn.XLOOKUP(E3,Total_Records[Attribute],Total_Records[Errors]),_xlpm.no_err/SUM(_xlpm.err,_xlpm.no_err)),0)</f>
        <v>0</v>
      </c>
      <c r="H3" t="e" cm="1" vm="2">
        <f t="array" ref="H3">_xlfn.IFS(F3=$J$6,$K$6,F3=$J$5,$K$5,F3&lt;=$J$1,$K$1,F3&lt;=$J$2,$K$2,F3&lt;=$J$3,$K$3,F3&lt;=$J$4,$K$4)</f>
        <v>#VALUE!</v>
      </c>
      <c r="J3" s="6">
        <v>0.75</v>
      </c>
      <c r="K3" t="e" vm="15">
        <v>#VALUE!</v>
      </c>
    </row>
    <row r="4" spans="1:45" x14ac:dyDescent="0.25">
      <c r="A4"/>
      <c r="B4"/>
      <c r="C4"/>
      <c r="E4" t="s">
        <v>7</v>
      </c>
      <c r="F4" s="6">
        <f t="shared" si="0"/>
        <v>1</v>
      </c>
      <c r="G4" s="6">
        <f>IFERROR(_xlfn.LET(_xlpm.no_err,_xlfn.XLOOKUP(E4,Total_Records[Attribute],Total_Records[No Errors]),_xlpm.err,_xlfn.XLOOKUP(E4,Total_Records[Attribute],Total_Records[Errors]),_xlpm.no_err/SUM(_xlpm.err,_xlpm.no_err)),0)</f>
        <v>0</v>
      </c>
      <c r="H4" t="e" cm="1" vm="2">
        <f t="array" ref="H4">_xlfn.IFS(F4=$J$6,$K$6,F4=$J$5,$K$5,F4&lt;=$J$1,$K$1,F4&lt;=$J$2,$K$2,F4&lt;=$J$3,$K$3,F4&lt;=$J$4,$K$4)</f>
        <v>#VALUE!</v>
      </c>
      <c r="J4" s="6">
        <v>0.99</v>
      </c>
      <c r="K4" t="e" vm="16">
        <v>#VALUE!</v>
      </c>
    </row>
    <row r="5" spans="1:45" x14ac:dyDescent="0.25">
      <c r="A5"/>
      <c r="B5"/>
      <c r="C5"/>
      <c r="E5" t="s">
        <v>4</v>
      </c>
      <c r="F5" s="6">
        <f t="shared" si="0"/>
        <v>1</v>
      </c>
      <c r="G5" s="6">
        <f>IFERROR(_xlfn.LET(_xlpm.no_err,_xlfn.XLOOKUP(E5,Total_Records[Attribute],Total_Records[No Errors]),_xlpm.err,_xlfn.XLOOKUP(E5,Total_Records[Attribute],Total_Records[Errors]),_xlpm.no_err/SUM(_xlpm.err,_xlpm.no_err)),0)</f>
        <v>0</v>
      </c>
      <c r="H5" t="e" cm="1" vm="2">
        <f t="array" ref="H5">_xlfn.IFS(F5=$J$6,$K$6,F5=$J$5,$K$5,F5&lt;=$J$1,$K$1,F5&lt;=$J$2,$K$2,F5&lt;=$J$3,$K$3,F5&lt;=$J$4,$K$4)</f>
        <v>#VALUE!</v>
      </c>
      <c r="J5" s="6">
        <v>1</v>
      </c>
      <c r="K5" t="e" vm="17">
        <v>#VALUE!</v>
      </c>
    </row>
    <row r="6" spans="1:45" x14ac:dyDescent="0.25">
      <c r="A6"/>
      <c r="B6"/>
      <c r="C6"/>
      <c r="E6" t="s">
        <v>5</v>
      </c>
      <c r="F6" s="6">
        <f>1-G6</f>
        <v>1</v>
      </c>
      <c r="G6" s="6">
        <f>IFERROR(_xlfn.LET(_xlpm.no_err,_xlfn.XLOOKUP(E6,Total_Records[Attribute],Total_Records[No Errors]),_xlpm.err,_xlfn.XLOOKUP(E6,Total_Records[Attribute],Total_Records[Errors]),_xlpm.no_err/SUM(_xlpm.err,_xlpm.no_err)),0)</f>
        <v>0</v>
      </c>
      <c r="H6" t="e" cm="1" vm="2">
        <f t="array" ref="H6">_xlfn.IFS(F6=$J$6,$K$6,F6=$J$5,$K$5,F6&lt;=$J$1,$K$1,F6&lt;=$J$2,$K$2,F6&lt;=$J$3,$K$3,F6&lt;=$J$4,$K$4)</f>
        <v>#VALUE!</v>
      </c>
      <c r="J6" s="6">
        <v>0</v>
      </c>
      <c r="K6" t="e" vm="18">
        <v>#VALUE!</v>
      </c>
      <c r="L6" s="1"/>
      <c r="M6" s="1"/>
      <c r="N6" s="1"/>
      <c r="O6" s="1"/>
      <c r="P6" s="1"/>
      <c r="Q6" s="1"/>
      <c r="R6" s="1"/>
    </row>
    <row r="7" spans="1:45" x14ac:dyDescent="0.25">
      <c r="A7"/>
      <c r="B7"/>
      <c r="C7"/>
      <c r="E7" t="s">
        <v>10</v>
      </c>
      <c r="F7" s="6">
        <f>1-G7</f>
        <v>1</v>
      </c>
      <c r="G7" s="6">
        <f>IFERROR(_xlfn.LET(_xlpm.no_err,_xlfn.XLOOKUP(E7,Total_Records[Attribute],Total_Records[No Errors]),_xlpm.err,_xlfn.XLOOKUP(E7,Total_Records[Attribute],Total_Records[Errors]),_xlpm.no_err/SUM(_xlpm.err,_xlpm.no_err)),0)</f>
        <v>0</v>
      </c>
      <c r="H7" t="e" cm="1" vm="2">
        <f t="array" ref="H7">_xlfn.IFS(F7=$J$6,$K$6,F7=$J$5,$K$5,F7&lt;=$J$1,$K$1,F7&lt;=$J$2,$K$2,F7&lt;=$J$3,$K$3,F7&lt;=$J$4,$K$4)</f>
        <v>#VALUE!</v>
      </c>
      <c r="L7" s="1"/>
      <c r="M7" s="1"/>
      <c r="N7" s="1"/>
      <c r="O7" s="1"/>
      <c r="P7" s="1"/>
      <c r="Q7" s="1"/>
      <c r="R7" s="1"/>
    </row>
    <row r="8" spans="1:45" x14ac:dyDescent="0.25">
      <c r="A8"/>
      <c r="B8"/>
      <c r="C8"/>
      <c r="E8" t="s">
        <v>9</v>
      </c>
      <c r="F8" s="6">
        <f t="shared" si="0"/>
        <v>1</v>
      </c>
      <c r="G8" s="6">
        <f>IFERROR(_xlfn.LET(_xlpm.no_err,_xlfn.XLOOKUP(E8,Total_Records[Attribute],Total_Records[No Errors]),_xlpm.err,_xlfn.XLOOKUP(E8,Total_Records[Attribute],Total_Records[Errors]),_xlpm.no_err/SUM(_xlpm.err,_xlpm.no_err)),0)</f>
        <v>0</v>
      </c>
      <c r="H8" t="e" cm="1" vm="2">
        <f t="array" ref="H8">_xlfn.IFS(F8=$J$6,$K$6,F8=$J$5,$K$5,F8&lt;=$J$1,$K$1,F8&lt;=$J$2,$K$2,F8&lt;=$J$3,$K$3,F8&lt;=$J$4,$K$4)</f>
        <v>#VALUE!</v>
      </c>
      <c r="L8" s="1"/>
      <c r="M8" s="1"/>
      <c r="N8" s="1"/>
      <c r="O8" s="1"/>
      <c r="P8" s="1"/>
      <c r="Q8" s="1"/>
      <c r="R8" s="1"/>
    </row>
    <row r="9" spans="1:45" x14ac:dyDescent="0.25">
      <c r="A9"/>
      <c r="B9"/>
      <c r="C9"/>
      <c r="E9" t="s">
        <v>3</v>
      </c>
      <c r="F9" s="6">
        <f t="shared" si="0"/>
        <v>1</v>
      </c>
      <c r="G9" s="6">
        <f>IFERROR(_xlfn.LET(_xlpm.no_err,_xlfn.XLOOKUP(E9,Total_Records[Attribute],Total_Records[No Errors]),_xlpm.err,_xlfn.XLOOKUP(E9,Total_Records[Attribute],Total_Records[Errors]),_xlpm.no_err/SUM(_xlpm.err,_xlpm.no_err)),0)</f>
        <v>0</v>
      </c>
      <c r="H9" t="e" cm="1" vm="2">
        <f t="array" ref="H9">_xlfn.IFS(F9=$J$6,$K$6,F9=$J$5,$K$5,F9&lt;=$J$1,$K$1,F9&lt;=$J$2,$K$2,F9&lt;=$J$3,$K$3,F9&lt;=$J$4,$K$4)</f>
        <v>#VALUE!</v>
      </c>
      <c r="L9" s="1"/>
      <c r="M9" s="1"/>
      <c r="N9" s="1"/>
      <c r="O9" s="1"/>
      <c r="P9" s="1"/>
      <c r="Q9" s="1"/>
      <c r="R9" s="1"/>
    </row>
    <row r="10" spans="1:45" x14ac:dyDescent="0.25">
      <c r="E10" t="s">
        <v>13</v>
      </c>
      <c r="F10" s="6">
        <f t="shared" si="0"/>
        <v>1</v>
      </c>
      <c r="G10" s="6">
        <f>IFERROR(_xlfn.LET(_xlpm.no_err,_xlfn.XLOOKUP(E10,Total_Records[Attribute],Total_Records[No Errors]),_xlpm.err,_xlfn.XLOOKUP(E10,Total_Records[Attribute],Total_Records[Errors]),_xlpm.no_err/SUM(_xlpm.err,_xlpm.no_err)),0)</f>
        <v>0</v>
      </c>
      <c r="H10" t="e" cm="1" vm="2">
        <f t="array" ref="H10">_xlfn.IFS(F10=$J$6,$K$6,F10=$J$5,$K$5,F10&lt;=$J$1,$K$1,F10&lt;=$J$2,$K$2,F10&lt;=$J$3,$K$3,F10&lt;=$J$4,$K$4)</f>
        <v>#VALUE!</v>
      </c>
      <c r="L10" s="1"/>
      <c r="M10" s="1"/>
      <c r="N10" s="1"/>
      <c r="O10" s="1"/>
      <c r="P10" s="1"/>
      <c r="Q10" s="1"/>
      <c r="R10" s="1"/>
    </row>
    <row r="11" spans="1:45" x14ac:dyDescent="0.25">
      <c r="L11" s="1"/>
      <c r="M11" s="1"/>
      <c r="N11" s="1"/>
      <c r="O11" s="1"/>
      <c r="P11" s="1"/>
      <c r="Q11" s="1"/>
      <c r="R11" s="1"/>
    </row>
    <row r="12" spans="1:45" x14ac:dyDescent="0.25">
      <c r="L12" s="1"/>
      <c r="M12" s="1"/>
      <c r="N12" s="1"/>
      <c r="O12" s="1"/>
      <c r="P12" s="1"/>
      <c r="Q12" s="1"/>
      <c r="R12" s="1"/>
    </row>
    <row r="13" spans="1:45" x14ac:dyDescent="0.25">
      <c r="L13" s="1"/>
      <c r="M13" s="1"/>
      <c r="N13" s="1"/>
      <c r="O13" s="1"/>
      <c r="P13" s="1"/>
      <c r="Q13" s="1"/>
      <c r="R13" s="1"/>
    </row>
    <row r="14" spans="1:45" x14ac:dyDescent="0.25">
      <c r="L14" s="1"/>
      <c r="M14" s="1"/>
      <c r="N14" s="1"/>
      <c r="O14" s="1"/>
      <c r="P14" s="1"/>
      <c r="Q14" s="1"/>
      <c r="R14" s="1"/>
    </row>
    <row r="15" spans="1:45" x14ac:dyDescent="0.25">
      <c r="L15" s="1"/>
      <c r="M15" s="1"/>
      <c r="N15" s="1"/>
      <c r="O15" s="1"/>
      <c r="P15" s="1"/>
      <c r="Q15" s="1"/>
      <c r="R15" s="1"/>
    </row>
    <row r="16" spans="1:45" x14ac:dyDescent="0.25">
      <c r="L16" s="1"/>
      <c r="M16" s="1"/>
      <c r="N16" s="1"/>
      <c r="O16" s="1"/>
      <c r="P16" s="1"/>
      <c r="Q16" s="1"/>
      <c r="R16" s="1"/>
    </row>
    <row r="18" spans="11:12" x14ac:dyDescent="0.25">
      <c r="K18" t="s">
        <v>3</v>
      </c>
      <c r="L18" t="str">
        <f ca="1" xml:space="preserve"> K18 &amp; " Top Errors" &amp; CHAR(10) &amp; "• " &amp; IFERROR(OFFSET(T$2, 1, 0), "") &amp; CHAR(10) &amp; "• " &amp; IFERROR(OFFSET(T$2, 2, 0), "") &amp; CHAR(10) &amp; "• " &amp; IFERROR(OFFSET(T$2, 3, 0), "")</f>
        <v xml:space="preserve">Students Top Errors
• 
• 
• </v>
      </c>
    </row>
    <row r="19" spans="11:12" x14ac:dyDescent="0.25">
      <c r="K19" t="s">
        <v>4</v>
      </c>
      <c r="L19" t="str">
        <f ca="1" xml:space="preserve"> K19 &amp; " Top Errors" &amp; CHAR(10) &amp; "• " &amp; IFERROR(OFFSET(W$2, 1, 0), "") &amp; CHAR(10) &amp; "• " &amp; IFERROR(OFFSET(W$2, 2, 0), "") &amp; CHAR(10) &amp; "• " &amp; IFERROR(OFFSET(W$2, 3, 0), "")</f>
        <v xml:space="preserve">Contacts Top Errors
• 
• 
• </v>
      </c>
    </row>
    <row r="20" spans="11:12" x14ac:dyDescent="0.25">
      <c r="K20" t="s">
        <v>9</v>
      </c>
      <c r="L20" t="str">
        <f ca="1" xml:space="preserve"> K20 &amp; " Top Errors" &amp; CHAR(10) &amp; "• " &amp; IFERROR(OFFSET(Z$2, 1, 0), "") &amp; CHAR(10) &amp; "• " &amp; IFERROR(OFFSET(Z$2, 2, 0), "") &amp; CHAR(10) &amp; "• " &amp; IFERROR(OFFSET(Z$2, 3, 0), "")</f>
        <v xml:space="preserve">Schools Top Errors
• 
• 
• </v>
      </c>
    </row>
    <row r="21" spans="11:12" x14ac:dyDescent="0.25">
      <c r="K21" t="s">
        <v>6</v>
      </c>
      <c r="L21" t="str">
        <f ca="1" xml:space="preserve"> K21 &amp; " Top Errors" &amp; CHAR(10) &amp; "• " &amp; IFERROR(OFFSET(AC$2, 1, 0), "") &amp; CHAR(10) &amp; "• " &amp; IFERROR(OFFSET(AC$2, 2, 0), "") &amp; CHAR(10) &amp; "• " &amp; IFERROR(OFFSET(AC$2, 3, 0), "")</f>
        <v xml:space="preserve">Class Top Errors
• 
• 
• </v>
      </c>
    </row>
    <row r="22" spans="11:12" x14ac:dyDescent="0.25">
      <c r="K22" t="s">
        <v>7</v>
      </c>
      <c r="L22" t="str">
        <f ca="1" xml:space="preserve"> K22 &amp; " Top Errors" &amp; CHAR(10) &amp; "• " &amp; IFERROR(OFFSET(AF$2, 1, 0), "") &amp; CHAR(10) &amp; "• " &amp; IFERROR(OFFSET(AF$2, 2, 0), "") &amp; CHAR(10) &amp; "• " &amp; IFERROR(OFFSET(AF$2, 3, 0), "")</f>
        <v xml:space="preserve">Class Teacher Top Errors
• 
• 
• </v>
      </c>
    </row>
    <row r="23" spans="11:12" x14ac:dyDescent="0.25">
      <c r="K23" t="s">
        <v>8</v>
      </c>
      <c r="L23" t="str">
        <f ca="1" xml:space="preserve"> K23 &amp; " Top Errors" &amp; CHAR(10) &amp; "• " &amp; IFERROR(OFFSET(AI$2, 1, 0), "") &amp; CHAR(10) &amp; "• " &amp; IFERROR(OFFSET(AI$2, 2, 0), "") &amp; CHAR(10) &amp; "• " &amp; IFERROR(OFFSET(AI$2, 3, 0), "")</f>
        <v xml:space="preserve">Class Roster Top Errors
• 
• 
• </v>
      </c>
    </row>
    <row r="24" spans="11:12" x14ac:dyDescent="0.25">
      <c r="K24" t="s">
        <v>5</v>
      </c>
      <c r="L24" t="str">
        <f ca="1" xml:space="preserve"> K24 &amp; " Top Errors" &amp; CHAR(10) &amp; "• " &amp; IFERROR(OFFSET(AL$2, 1, 0), "") &amp; CHAR(10) &amp; "• " &amp; IFERROR(OFFSET(AL$2, 2, 0), "") &amp; CHAR(10) &amp; "• " &amp; IFERROR(OFFSET(AL$2, 3, 0), "")</f>
        <v xml:space="preserve">Faculty Top Errors
• 
• 
• </v>
      </c>
    </row>
    <row r="25" spans="11:12" x14ac:dyDescent="0.25">
      <c r="K25" t="s">
        <v>10</v>
      </c>
      <c r="L25" t="str">
        <f ca="1" xml:space="preserve"> K25 &amp; " Top Errors" &amp; CHAR(10) &amp; "• " &amp; IFERROR(OFFSET(AO$2, 1, 0), "") &amp; CHAR(10) &amp; "• " &amp; IFERROR(OFFSET(AO$2, 2, 0), "") &amp; CHAR(10) &amp; "• " &amp; IFERROR(OFFSET(AO$2, 3, 0), "")</f>
        <v xml:space="preserve">Medical Alerts Top Errors
• 
• 
• </v>
      </c>
    </row>
    <row r="26" spans="11:12" x14ac:dyDescent="0.25">
      <c r="K26" t="s">
        <v>24</v>
      </c>
      <c r="L26" t="str">
        <f ca="1" xml:space="preserve"> K26 &amp; " Top Errors" &amp; CHAR(10) &amp; "• " &amp; IFERROR(OFFSET(AR$2, 1, 0), "") &amp; CHAR(10) &amp; "• " &amp; IFERROR(OFFSET(AR$2, 2, 0), "") &amp; CHAR(10) &amp; "• " &amp; IFERROR(OFFSET(AR$2, 3, 0), "")</f>
        <v xml:space="preserve">Immunization Top Errors
• 
• 
• </v>
      </c>
    </row>
  </sheetData>
  <phoneticPr fontId="5" type="noConversion"/>
  <pageMargins left="0.7" right="0.7" top="0.75" bottom="0.75" header="0.3" footer="0.3"/>
  <pageSetup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6DCB6-9291-4E35-97AF-7490407AFEB2}">
  <sheetPr codeName="Sheet4"/>
  <dimension ref="A1:K9"/>
  <sheetViews>
    <sheetView workbookViewId="0">
      <selection activeCell="K25" sqref="K25"/>
    </sheetView>
  </sheetViews>
  <sheetFormatPr defaultRowHeight="15" x14ac:dyDescent="0.25"/>
  <cols>
    <col min="2" max="2" width="13.42578125" customWidth="1"/>
    <col min="7" max="7" width="18.42578125" customWidth="1"/>
    <col min="9" max="9" width="11.140625" customWidth="1"/>
    <col min="11" max="11" width="11.5703125" customWidth="1"/>
  </cols>
  <sheetData>
    <row r="1" spans="1:11" x14ac:dyDescent="0.25">
      <c r="A1" t="s">
        <v>1</v>
      </c>
      <c r="B1" t="s">
        <v>2</v>
      </c>
      <c r="D1" s="20" t="s">
        <v>22</v>
      </c>
      <c r="E1" s="21" t="s">
        <v>23</v>
      </c>
      <c r="G1" t="s">
        <v>27</v>
      </c>
      <c r="I1" t="s">
        <v>25</v>
      </c>
      <c r="J1" t="s">
        <v>1</v>
      </c>
      <c r="K1" t="s">
        <v>26</v>
      </c>
    </row>
    <row r="2" spans="1:11" x14ac:dyDescent="0.25">
      <c r="I2" t="s">
        <v>6</v>
      </c>
      <c r="J2">
        <v>0</v>
      </c>
      <c r="K2">
        <v>0</v>
      </c>
    </row>
    <row r="3" spans="1:11" x14ac:dyDescent="0.25">
      <c r="I3" t="s">
        <v>8</v>
      </c>
      <c r="J3">
        <v>0</v>
      </c>
      <c r="K3">
        <v>0</v>
      </c>
    </row>
    <row r="4" spans="1:11" x14ac:dyDescent="0.25">
      <c r="I4" t="s">
        <v>7</v>
      </c>
      <c r="J4">
        <v>0</v>
      </c>
      <c r="K4">
        <v>0</v>
      </c>
    </row>
    <row r="5" spans="1:11" x14ac:dyDescent="0.25">
      <c r="I5" t="s">
        <v>4</v>
      </c>
      <c r="J5">
        <v>0</v>
      </c>
      <c r="K5">
        <v>0</v>
      </c>
    </row>
    <row r="6" spans="1:11" x14ac:dyDescent="0.25">
      <c r="I6" t="s">
        <v>5</v>
      </c>
      <c r="J6">
        <v>0</v>
      </c>
      <c r="K6">
        <v>0</v>
      </c>
    </row>
    <row r="7" spans="1:11" x14ac:dyDescent="0.25">
      <c r="I7" t="s">
        <v>10</v>
      </c>
      <c r="J7">
        <v>0</v>
      </c>
      <c r="K7">
        <v>0</v>
      </c>
    </row>
    <row r="8" spans="1:11" x14ac:dyDescent="0.25">
      <c r="I8" t="s">
        <v>9</v>
      </c>
      <c r="J8">
        <v>0</v>
      </c>
      <c r="K8">
        <v>0</v>
      </c>
    </row>
    <row r="9" spans="1:11" x14ac:dyDescent="0.25">
      <c r="I9" t="s">
        <v>3</v>
      </c>
      <c r="J9">
        <v>0</v>
      </c>
      <c r="K9">
        <v>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F521E-40D8-4A4C-96A9-92F2004526E3}">
  <sheetPr codeName="Sheet5"/>
  <dimension ref="A1:B1"/>
  <sheetViews>
    <sheetView workbookViewId="0">
      <selection activeCell="M18" sqref="M18"/>
    </sheetView>
  </sheetViews>
  <sheetFormatPr defaultRowHeight="15" x14ac:dyDescent="0.25"/>
  <cols>
    <col min="1" max="1" width="10.5703125" bestFit="1" customWidth="1"/>
  </cols>
  <sheetData>
    <row r="1" spans="1:2" x14ac:dyDescent="0.25">
      <c r="A1" t="s">
        <v>0</v>
      </c>
      <c r="B1" t="s">
        <v>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lcf76f155ced4ddcb4097134ff3c332f xmlns="c0e89ff5-b0d7-4f9e-acc2-75508b584e0f">
      <Terms xmlns="http://schemas.microsoft.com/office/infopath/2007/PartnerControls"/>
    </lcf76f155ced4ddcb4097134ff3c332f>
    <_ip_UnifiedCompliancePolicyProperties xmlns="http://schemas.microsoft.com/sharepoint/v3" xsi:nil="true"/>
    <TaxCatchAll xmlns="d08d7db3-f8d9-47c4-a764-753ef594a5ea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863D5C84C5B44BBBC5DBE5E1AFB6A5" ma:contentTypeVersion="20" ma:contentTypeDescription="Create a new document." ma:contentTypeScope="" ma:versionID="cdd625d2e2933d9d754416c32633d7d7">
  <xsd:schema xmlns:xsd="http://www.w3.org/2001/XMLSchema" xmlns:xs="http://www.w3.org/2001/XMLSchema" xmlns:p="http://schemas.microsoft.com/office/2006/metadata/properties" xmlns:ns1="http://schemas.microsoft.com/sharepoint/v3" xmlns:ns2="c0e89ff5-b0d7-4f9e-acc2-75508b584e0f" xmlns:ns3="d08d7db3-f8d9-47c4-a764-753ef594a5ea" targetNamespace="http://schemas.microsoft.com/office/2006/metadata/properties" ma:root="true" ma:fieldsID="7d34b0a1fcb405d43ea0f336fc2e9445" ns1:_="" ns2:_="" ns3:_="">
    <xsd:import namespace="http://schemas.microsoft.com/sharepoint/v3"/>
    <xsd:import namespace="c0e89ff5-b0d7-4f9e-acc2-75508b584e0f"/>
    <xsd:import namespace="d08d7db3-f8d9-47c4-a764-753ef594a5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e89ff5-b0d7-4f9e-acc2-75508b584e0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952ad69-6964-4ce0-9eb0-43edd7e96f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8d7db3-f8d9-47c4-a764-753ef594a5ea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5de9eee-7179-43b8-95a4-982ebb52ebeb}" ma:internalName="TaxCatchAll" ma:showField="CatchAllData" ma:web="d08d7db3-f8d9-47c4-a764-753ef594a5e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AC4D66C-8DF1-49A6-A723-C5FFB4D80EA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FF1FAF7-A7C7-461F-9E20-C6A6B10E9433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c0e89ff5-b0d7-4f9e-acc2-75508b584e0f"/>
    <ds:schemaRef ds:uri="d08d7db3-f8d9-47c4-a764-753ef594a5ea"/>
  </ds:schemaRefs>
</ds:datastoreItem>
</file>

<file path=customXml/itemProps3.xml><?xml version="1.0" encoding="utf-8"?>
<ds:datastoreItem xmlns:ds="http://schemas.openxmlformats.org/officeDocument/2006/customXml" ds:itemID="{CD0593AC-2D0F-4434-B467-A5AB01C1019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6AA24E6-C79E-4F27-89AC-C438D43CD7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0e89ff5-b0d7-4f9e-acc2-75508b584e0f"/>
    <ds:schemaRef ds:uri="d08d7db3-f8d9-47c4-a764-753ef594a5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Dashboard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Dalida</dc:creator>
  <cp:lastModifiedBy>Rob Dalida</cp:lastModifiedBy>
  <dcterms:created xsi:type="dcterms:W3CDTF">2025-05-15T10:31:51Z</dcterms:created>
  <dcterms:modified xsi:type="dcterms:W3CDTF">2025-05-23T19:15:30Z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0x0101005B863D5C84C5B44BBBC5DBE5E1AFB6A5</vt:lpwstr>
  </property>
  <property fmtid="{D5CDD505-2E9C-101B-9397-08002B2CF9AE}" pid="3" name="MediaServiceImageTags">
    <vt:lpwstr/>
  </property>
</Properties>
</file>